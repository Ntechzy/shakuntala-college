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1840" windowHeight="12450" tabRatio="204"/>
  </bookViews>
  <sheets>
    <sheet name="Sheet1" sheetId="1" r:id="rId1"/>
  </sheets>
  <definedNames>
    <definedName name="_xlnm._FilterDatabase" localSheetId="0" hidden="1">Sheet1!$A$1:$M$87</definedName>
  </definedNames>
  <calcPr calcId="191029"/>
</workbook>
</file>

<file path=xl/calcChain.xml><?xml version="1.0" encoding="utf-8"?>
<calcChain xmlns="http://schemas.openxmlformats.org/spreadsheetml/2006/main">
  <c r="H32" i="1"/>
  <c r="I32"/>
  <c r="H33"/>
  <c r="I33"/>
  <c r="H34"/>
  <c r="I34"/>
  <c r="I31"/>
  <c r="H31"/>
  <c r="I54"/>
  <c r="H54"/>
  <c r="E54"/>
  <c r="I24"/>
  <c r="H24"/>
  <c r="E24"/>
  <c r="E79"/>
  <c r="H79"/>
  <c r="I79"/>
  <c r="E78"/>
  <c r="H78"/>
  <c r="I78"/>
  <c r="E9" l="1"/>
  <c r="G9"/>
  <c r="H9" s="1"/>
  <c r="I9" s="1"/>
  <c r="E20"/>
  <c r="H20"/>
  <c r="I20"/>
  <c r="E21"/>
  <c r="H21"/>
  <c r="I21"/>
  <c r="E23"/>
  <c r="H23"/>
  <c r="I23"/>
  <c r="E22"/>
  <c r="H22"/>
  <c r="I22"/>
  <c r="E25"/>
  <c r="H25"/>
  <c r="I25"/>
  <c r="E26"/>
  <c r="H26"/>
  <c r="I26"/>
  <c r="E27"/>
  <c r="H27"/>
  <c r="I27"/>
  <c r="E28"/>
  <c r="H28"/>
  <c r="I28"/>
  <c r="E29"/>
  <c r="H29"/>
  <c r="I29"/>
  <c r="E30"/>
  <c r="H30"/>
  <c r="I30"/>
  <c r="E35"/>
  <c r="H35"/>
  <c r="I35"/>
  <c r="E36"/>
  <c r="H36"/>
  <c r="I36"/>
  <c r="E37"/>
  <c r="H37"/>
  <c r="I37"/>
  <c r="E38"/>
  <c r="H38"/>
  <c r="I38"/>
  <c r="E39"/>
  <c r="H39"/>
  <c r="I39"/>
  <c r="E40"/>
  <c r="H40"/>
  <c r="I40"/>
  <c r="E41"/>
  <c r="H41"/>
  <c r="I41"/>
  <c r="E42"/>
  <c r="H42"/>
  <c r="I42"/>
  <c r="E43"/>
  <c r="H43"/>
  <c r="I43"/>
  <c r="E44"/>
  <c r="H44"/>
  <c r="I44"/>
  <c r="E45"/>
  <c r="H45"/>
  <c r="I45"/>
  <c r="E46"/>
  <c r="H46"/>
  <c r="I46"/>
  <c r="E47"/>
  <c r="H47"/>
  <c r="I47"/>
  <c r="E48"/>
  <c r="H48"/>
  <c r="I48"/>
  <c r="E49"/>
  <c r="H49"/>
  <c r="I49"/>
  <c r="E50"/>
  <c r="H50"/>
  <c r="I50"/>
  <c r="E51"/>
  <c r="H51"/>
  <c r="I51"/>
  <c r="E52"/>
  <c r="H52"/>
  <c r="I52"/>
  <c r="E53"/>
  <c r="H53"/>
  <c r="I53"/>
  <c r="E55"/>
  <c r="H55"/>
  <c r="I55"/>
  <c r="E56"/>
  <c r="H56"/>
  <c r="I56"/>
  <c r="E57"/>
  <c r="H57"/>
  <c r="I57"/>
  <c r="E58"/>
  <c r="H58"/>
  <c r="I58"/>
  <c r="E59"/>
  <c r="H59"/>
  <c r="I59"/>
  <c r="E60"/>
  <c r="H60"/>
  <c r="I60"/>
  <c r="E61"/>
  <c r="H61"/>
  <c r="I61"/>
  <c r="E62"/>
  <c r="H62"/>
  <c r="I62"/>
  <c r="E63"/>
  <c r="H63"/>
  <c r="I63"/>
  <c r="E64"/>
  <c r="H64"/>
  <c r="I64"/>
  <c r="E65"/>
  <c r="H65"/>
  <c r="I65"/>
  <c r="E66"/>
  <c r="H66"/>
  <c r="I66"/>
  <c r="E67"/>
  <c r="H67"/>
  <c r="I67"/>
  <c r="E68"/>
  <c r="H68"/>
  <c r="I68"/>
  <c r="E69"/>
  <c r="H69"/>
  <c r="I69"/>
  <c r="E70"/>
  <c r="H70"/>
  <c r="I70"/>
  <c r="E71"/>
  <c r="H71"/>
  <c r="I71"/>
  <c r="E72"/>
  <c r="H72"/>
  <c r="I72"/>
  <c r="E73"/>
  <c r="H73"/>
  <c r="I73"/>
  <c r="E74"/>
  <c r="H74"/>
  <c r="I74"/>
  <c r="E75"/>
  <c r="H75"/>
  <c r="I75"/>
  <c r="E76"/>
  <c r="H76"/>
  <c r="I76"/>
  <c r="E77"/>
  <c r="H77"/>
  <c r="I77"/>
  <c r="E80"/>
  <c r="H80"/>
  <c r="I80"/>
  <c r="E81"/>
  <c r="H81"/>
  <c r="I81"/>
  <c r="E82"/>
  <c r="H82"/>
  <c r="I82"/>
  <c r="E83"/>
  <c r="H83"/>
  <c r="I83"/>
  <c r="E84"/>
  <c r="H84"/>
  <c r="I84"/>
  <c r="E85"/>
  <c r="H85"/>
  <c r="I85"/>
  <c r="E86"/>
  <c r="H86"/>
  <c r="I86"/>
  <c r="E87"/>
  <c r="H87"/>
  <c r="I87"/>
  <c r="E88"/>
  <c r="H88"/>
  <c r="I88"/>
  <c r="E89"/>
  <c r="H89"/>
  <c r="I89"/>
  <c r="E90"/>
  <c r="H90"/>
  <c r="I90"/>
  <c r="E91"/>
  <c r="H91"/>
  <c r="I91"/>
  <c r="E92"/>
  <c r="H92"/>
  <c r="I92"/>
  <c r="E93"/>
  <c r="H93"/>
  <c r="I93"/>
  <c r="E94"/>
  <c r="H94"/>
  <c r="I94"/>
  <c r="E95"/>
  <c r="H95"/>
  <c r="I95"/>
  <c r="E96"/>
  <c r="H96"/>
  <c r="I96"/>
  <c r="E97"/>
  <c r="H97"/>
  <c r="I97"/>
  <c r="I19"/>
  <c r="H19"/>
  <c r="E19"/>
  <c r="I10"/>
  <c r="H10"/>
  <c r="E10"/>
</calcChain>
</file>

<file path=xl/sharedStrings.xml><?xml version="1.0" encoding="utf-8"?>
<sst xmlns="http://schemas.openxmlformats.org/spreadsheetml/2006/main" count="428" uniqueCount="278">
  <si>
    <t>Institution Id (e.g. AYU0001):</t>
  </si>
  <si>
    <t>Institution Name:</t>
  </si>
  <si>
    <t>S. No</t>
  </si>
  <si>
    <t>Name of Employee</t>
  </si>
  <si>
    <t>Designation</t>
  </si>
  <si>
    <t>Pay Scale</t>
  </si>
  <si>
    <t>Basic Pay</t>
  </si>
  <si>
    <t>DA &amp; Other allowances</t>
  </si>
  <si>
    <t>Deduction GPF/CPF/IT</t>
  </si>
  <si>
    <t>Gross Pay</t>
  </si>
  <si>
    <t>Net Pay</t>
  </si>
  <si>
    <t>Mode of Payment</t>
  </si>
  <si>
    <t>Salary account details of employee</t>
  </si>
  <si>
    <t>Contact No.</t>
  </si>
  <si>
    <t>Email id</t>
  </si>
  <si>
    <t>AYU0728</t>
  </si>
  <si>
    <t>drshivesh81@gmail.com</t>
  </si>
  <si>
    <t>pankajprajapati896@gmail.com</t>
  </si>
  <si>
    <t>dnanahot07@gmail.com</t>
  </si>
  <si>
    <t>Physiotherapist</t>
  </si>
  <si>
    <t>Store keeper</t>
  </si>
  <si>
    <t>drdkpazm2009@gmail.com</t>
  </si>
  <si>
    <t>Pathologist</t>
  </si>
  <si>
    <t>Radiologist</t>
  </si>
  <si>
    <t>drramnarayan02222@gmail.com</t>
  </si>
  <si>
    <t>dranilgupta01111@gmail.com</t>
  </si>
  <si>
    <t>drdbsingh010766@gmail.com</t>
  </si>
  <si>
    <t>goldenthakur308@gmail.com</t>
  </si>
  <si>
    <t>dr.tipathi.vivek@gmail.com</t>
  </si>
  <si>
    <t>sunilking8565@gmail.com</t>
  </si>
  <si>
    <t>anjuprajapati0801@gmail.com</t>
  </si>
  <si>
    <t>kupratishthay@gmail.com</t>
  </si>
  <si>
    <t>sonalirajbhar000@gmail.com</t>
  </si>
  <si>
    <t>poonamyadav7736@gmail.com</t>
  </si>
  <si>
    <t>trivenikumar695@gmail.com</t>
  </si>
  <si>
    <t>08662191029486</t>
  </si>
  <si>
    <t>BANK</t>
  </si>
  <si>
    <t>501001930004575</t>
  </si>
  <si>
    <t>drsamch2023@gmail.com</t>
  </si>
  <si>
    <t>drajaykumaranand0@gmail.com</t>
  </si>
  <si>
    <t>Dr. Shakuntala Ayurvedic Medical College and Hospital, Jaunpur-222133, Uttar Pradesh</t>
  </si>
  <si>
    <t>dr.gaurishankar89@gmail.com</t>
  </si>
  <si>
    <t>rishisurya007@gmail.com</t>
  </si>
  <si>
    <t>shaileshwariyadav93@gmail.com</t>
  </si>
  <si>
    <t>drsharadvish20@gmail.com</t>
  </si>
  <si>
    <r>
      <t xml:space="preserve">
</t>
    </r>
    <r>
      <rPr>
        <b/>
        <sz val="14"/>
        <color rgb="FF000000"/>
        <rFont val="Calibri"/>
        <family val="2"/>
      </rPr>
      <t xml:space="preserve">                                                      </t>
    </r>
  </si>
  <si>
    <t>PERFORMA TO FURNISH THE SALARY DETAILS OF HOSPITAL STAFF</t>
  </si>
  <si>
    <t>dramitkumar9451@gmail.com</t>
  </si>
  <si>
    <t>suman879530@gmail.com</t>
  </si>
  <si>
    <t>vishalyadav33108@gmail.com</t>
  </si>
  <si>
    <t>drxny@gmail.com</t>
  </si>
  <si>
    <t>smartboyadnan1882@gmail.com</t>
  </si>
  <si>
    <t>saritamedhasvi@gmail.com</t>
  </si>
  <si>
    <t>PNB Bank</t>
  </si>
  <si>
    <t>UBI Bank</t>
  </si>
  <si>
    <t>Prof. (Dr.) Anil Kumar Tripathi</t>
  </si>
  <si>
    <t>Medical superintendent</t>
  </si>
  <si>
    <t>Deputy medical superintendent</t>
  </si>
  <si>
    <t>Dr Ajay kumar</t>
  </si>
  <si>
    <t>Kaya Chikitsa</t>
  </si>
  <si>
    <t>Dr Gaurishankar Harikesh Yadav</t>
  </si>
  <si>
    <t>Panchakarma</t>
  </si>
  <si>
    <t>Dr Rakesh Kumar Mishra</t>
  </si>
  <si>
    <t>Kaumarbhritya</t>
  </si>
  <si>
    <t>Dr Ajay Kumar Anand</t>
  </si>
  <si>
    <t>Shalya Tantra</t>
  </si>
  <si>
    <t>Dr Sarita Sathian M</t>
  </si>
  <si>
    <t>Shalakya Tantra</t>
  </si>
  <si>
    <t>Dr Shaileshwari Yadav</t>
  </si>
  <si>
    <t>Prasuti Tantra &amp; Stri Rog</t>
  </si>
  <si>
    <t>Dr Rishi Kumar Yadav</t>
  </si>
  <si>
    <t>Swasthavritta</t>
  </si>
  <si>
    <t>Dr Sharad Kumar Vishwalarma</t>
  </si>
  <si>
    <t>Agad Tantra</t>
  </si>
  <si>
    <t>Assistant matron -1</t>
  </si>
  <si>
    <t>Assistant matron -2</t>
  </si>
  <si>
    <t>Prem Prakash Srivastav</t>
  </si>
  <si>
    <t>Office Superintendent</t>
  </si>
  <si>
    <t>Pankaj Gautam</t>
  </si>
  <si>
    <t>Clerks and accountants</t>
  </si>
  <si>
    <t>Vishal Yadav</t>
  </si>
  <si>
    <t>Multi tasking Staff</t>
  </si>
  <si>
    <t>Prakash</t>
  </si>
  <si>
    <t>Ram Nayak</t>
  </si>
  <si>
    <t>Dr. Anil Gupta</t>
  </si>
  <si>
    <t>Anaesthesiologist</t>
  </si>
  <si>
    <t>Dr. Ram Narayan</t>
  </si>
  <si>
    <t>Dr. Dhirendra Bahadur Singh</t>
  </si>
  <si>
    <t>Receptionist cum telephone operator</t>
  </si>
  <si>
    <t>Anand Kumar Vishwakarma</t>
  </si>
  <si>
    <t>Registration and Billing Clerk's</t>
  </si>
  <si>
    <t>Devendra Yadav</t>
  </si>
  <si>
    <t>Soni Yadav</t>
  </si>
  <si>
    <t>Medical record technician</t>
  </si>
  <si>
    <t>Nursing staff (Atyayika)</t>
  </si>
  <si>
    <t xml:space="preserve">Nursing staff (Shalya) </t>
  </si>
  <si>
    <t>Sonali Rajbhar</t>
  </si>
  <si>
    <t>Nursing staff (Prasuti )</t>
  </si>
  <si>
    <t>Poonam</t>
  </si>
  <si>
    <t>Aya</t>
  </si>
  <si>
    <t>Dharmendra Kumar</t>
  </si>
  <si>
    <t>Vimala Devi</t>
  </si>
  <si>
    <t>Triveni Kumar</t>
  </si>
  <si>
    <t>Naveen Kumar Yadav</t>
  </si>
  <si>
    <t>Khushhali Vishwakarma</t>
  </si>
  <si>
    <t>Lab attendant</t>
  </si>
  <si>
    <t>X-ray technician (qualified)</t>
  </si>
  <si>
    <t>ECG technician</t>
  </si>
  <si>
    <t>Microbiologist (MSc microbiology)</t>
  </si>
  <si>
    <t>Dr Arun Kumar Tiwari</t>
  </si>
  <si>
    <t>Dr Shalu Singh</t>
  </si>
  <si>
    <t>Neha Yadav</t>
  </si>
  <si>
    <t xml:space="preserve">Nikhat  Janha </t>
  </si>
  <si>
    <t>Anjoo Prajapati</t>
  </si>
  <si>
    <t>Seeta Devi</t>
  </si>
  <si>
    <t>Kalpnath</t>
  </si>
  <si>
    <t>Dr Vimlesh Yadav</t>
  </si>
  <si>
    <t>Dr Pankaj Prajapati</t>
  </si>
  <si>
    <t>Rinka Rai</t>
  </si>
  <si>
    <t>Dr Dharmendra Kumar Prajapati</t>
  </si>
  <si>
    <t>House officer - Bachelor of Ayurvedic Medicine and Surgery preferably with Master of Business Administration in hospital administration.</t>
  </si>
  <si>
    <t>Nursing staff</t>
  </si>
  <si>
    <t>Arun Kumar Thakur</t>
  </si>
  <si>
    <t>Shahfahad</t>
  </si>
  <si>
    <t>Operation theatre attendants</t>
  </si>
  <si>
    <t>Anushastra karma technician 
(12th standard passed)</t>
  </si>
  <si>
    <t>Suman Devi</t>
  </si>
  <si>
    <t>Alka Yadav</t>
  </si>
  <si>
    <t>Sheela</t>
  </si>
  <si>
    <t>Ayah (one per shift)</t>
  </si>
  <si>
    <t>Pramila</t>
  </si>
  <si>
    <t>Subham Yadav</t>
  </si>
  <si>
    <t>Yoga demonstrator</t>
  </si>
  <si>
    <t>In-charge (Assign additional charge to a teaching faculty from Swasthavirta department )</t>
  </si>
  <si>
    <t>Gangaram</t>
  </si>
  <si>
    <t>Pathya cooks</t>
  </si>
  <si>
    <t>Geeta Devi</t>
  </si>
  <si>
    <t>Multi-tasking staff</t>
  </si>
  <si>
    <t>Pintu</t>
  </si>
  <si>
    <t>drajayrawat0106@gmail.com</t>
  </si>
  <si>
    <t>mishrarakeshbalrog@gmail.com</t>
  </si>
  <si>
    <t>poojanursing26@gmail.com</t>
  </si>
  <si>
    <t>pp.klab@redissgmail.com</t>
  </si>
  <si>
    <t>dimpaly2021@gmail.com</t>
  </si>
  <si>
    <t>dy4905478@gmail.com</t>
  </si>
  <si>
    <t>yadavkartik6394@gmail.com</t>
  </si>
  <si>
    <t>abhishekjnp20122@gmail.com</t>
  </si>
  <si>
    <t>dr.aruntiwari12sep1959@gmail.com</t>
  </si>
  <si>
    <t>docshalu2703@gmail.com</t>
  </si>
  <si>
    <t>ny0307209@gmail.com</t>
  </si>
  <si>
    <t>dilshadkhan88811@gmail.com</t>
  </si>
  <si>
    <t>vimleshyadav20892@gmail.com</t>
  </si>
  <si>
    <t>rchandrayadav98@gmail.com</t>
  </si>
  <si>
    <t>roshanirajbhar52@gmail.com</t>
  </si>
  <si>
    <t>ahamaddrshafahad@gmail.com</t>
  </si>
  <si>
    <t>yadavkankanksha89@gmail.com</t>
  </si>
  <si>
    <t>yadavruby120@gmail.com</t>
  </si>
  <si>
    <t>govidprasadsani28@gmail.com</t>
  </si>
  <si>
    <t>dharmendrayadav36757@gmail.com</t>
  </si>
  <si>
    <t>alkay3156@gmail.com</t>
  </si>
  <si>
    <t>shiladevi123@gmail.com</t>
  </si>
  <si>
    <t>vishwakarmapankaj4983@gmail.com</t>
  </si>
  <si>
    <t>7905025614</t>
  </si>
  <si>
    <t>7905638612</t>
  </si>
  <si>
    <t>7355089996</t>
  </si>
  <si>
    <t>8879388614</t>
  </si>
  <si>
    <t>6394409341</t>
  </si>
  <si>
    <t>7052267646</t>
  </si>
  <si>
    <t>9451161226</t>
  </si>
  <si>
    <t>6391805272</t>
  </si>
  <si>
    <t>9170959504</t>
  </si>
  <si>
    <t>7380572723</t>
  </si>
  <si>
    <t>6392514658</t>
  </si>
  <si>
    <t>7052100257</t>
  </si>
  <si>
    <t>8172882347</t>
  </si>
  <si>
    <t>638010100001045</t>
  </si>
  <si>
    <t>50100193000682</t>
  </si>
  <si>
    <t>466702120005193</t>
  </si>
  <si>
    <t>712102120008575</t>
  </si>
  <si>
    <t>304402120005214</t>
  </si>
  <si>
    <t>50100554276814</t>
  </si>
  <si>
    <t>433502120005378</t>
  </si>
  <si>
    <t>212410100185344</t>
  </si>
  <si>
    <t>460602010007826</t>
  </si>
  <si>
    <t>6347101002639</t>
  </si>
  <si>
    <t>658602010008844</t>
  </si>
  <si>
    <t>359402120007248</t>
  </si>
  <si>
    <t>389502120021521</t>
  </si>
  <si>
    <t>389502120021519</t>
  </si>
  <si>
    <t>475602010271400</t>
  </si>
  <si>
    <t>635802120013994</t>
  </si>
  <si>
    <t>428902120025144</t>
  </si>
  <si>
    <t>719602010011129</t>
  </si>
  <si>
    <t>434702120003148</t>
  </si>
  <si>
    <t>359402130000130</t>
  </si>
  <si>
    <t>Lab technician (DMLT)</t>
  </si>
  <si>
    <t>Pharmacist (Ayurveda Pharmacist)</t>
  </si>
  <si>
    <t>Dr Sonam Yadav</t>
  </si>
  <si>
    <t>Resident Medical Officer</t>
  </si>
  <si>
    <t>Ayah</t>
  </si>
  <si>
    <t>Resident Surgical officer</t>
  </si>
  <si>
    <t>Emergency Medical Officer</t>
  </si>
  <si>
    <t>Matron or Nursing Superintendent</t>
  </si>
  <si>
    <t>Dr Vivek Kumar Tripathi</t>
  </si>
  <si>
    <t>Dr Amit Kumar Prajapati</t>
  </si>
  <si>
    <t>Sunil Yadav</t>
  </si>
  <si>
    <t>Mrs Pooja Yadav</t>
  </si>
  <si>
    <t>Physiotherapist Attendant</t>
  </si>
  <si>
    <t>Akash Rajbhar</t>
  </si>
  <si>
    <t>Pankaj Vishwakarma</t>
  </si>
  <si>
    <t>Sunita</t>
  </si>
  <si>
    <t>Pratishtha Yadav</t>
  </si>
  <si>
    <t>Poonam Yadav</t>
  </si>
  <si>
    <t>Adnan Khan</t>
  </si>
  <si>
    <t>Kartik Yadav</t>
  </si>
  <si>
    <t>Abhishek  Kumar</t>
  </si>
  <si>
    <t>Anamika Giri</t>
  </si>
  <si>
    <t>Ratan Chandra Yadav</t>
  </si>
  <si>
    <t>Hemlata Gupta</t>
  </si>
  <si>
    <t>Roshani Rajbhar</t>
  </si>
  <si>
    <t>Nisha</t>
  </si>
  <si>
    <t>Akanksha Yadav</t>
  </si>
  <si>
    <t>Rubi Yadav</t>
  </si>
  <si>
    <t>Sushma Maurya</t>
  </si>
  <si>
    <t>Govind Prasad</t>
  </si>
  <si>
    <t>Shivam Yadav</t>
  </si>
  <si>
    <t>Dharmendra Yadav</t>
  </si>
  <si>
    <t>Sadhana Yadav</t>
  </si>
  <si>
    <t>Dimpal Yadav</t>
  </si>
  <si>
    <t>asvingautam564@gmail.com</t>
  </si>
  <si>
    <t>khushhalivishwakarma886@gmail.com</t>
  </si>
  <si>
    <t>soniyadav582006@gmail.com</t>
  </si>
  <si>
    <t>shivamsamikshayadav@gmail.com</t>
  </si>
  <si>
    <t>1000/ Per Visit</t>
  </si>
  <si>
    <t>P.K. Assistant (Male)</t>
  </si>
  <si>
    <t>P.K. Assistant (Female)</t>
  </si>
  <si>
    <t>P.K. Assistant (KriyaKalp)</t>
  </si>
  <si>
    <t>Priyanka Kharwar</t>
  </si>
  <si>
    <t>pd9334357@gmail.com</t>
  </si>
  <si>
    <t>Akriti Singh</t>
  </si>
  <si>
    <t>dineshjagran86@gmail.com</t>
  </si>
  <si>
    <t>Sunita Devi</t>
  </si>
  <si>
    <t>Ramchandra</t>
  </si>
  <si>
    <t>Priyanshu  Tiwari</t>
  </si>
  <si>
    <t>pt407767@gmail.com</t>
  </si>
  <si>
    <t>7442000100074120</t>
  </si>
  <si>
    <t>8787082880</t>
  </si>
  <si>
    <t>yadavsonambams@gmail.com</t>
  </si>
  <si>
    <t>Sunita Chauhan</t>
  </si>
  <si>
    <t>s3187990@gmail.com</t>
  </si>
  <si>
    <t>Santosh Rawat</t>
  </si>
  <si>
    <t>Bank</t>
  </si>
  <si>
    <t>Dr Pranav Prakash Singh</t>
  </si>
  <si>
    <t>BNAK</t>
  </si>
  <si>
    <t>Dr Amit Yogendra Yadav</t>
  </si>
  <si>
    <t>Dr Ram Avadh Yadav</t>
  </si>
  <si>
    <t>Dr Shakuntala Yadav</t>
  </si>
  <si>
    <t>Dr Anand Vardhan</t>
  </si>
  <si>
    <t>Dr Ayushi Yadav</t>
  </si>
  <si>
    <t>Paediatrician</t>
  </si>
  <si>
    <t>Obs &amp; Gyn.</t>
  </si>
  <si>
    <t>Surgeon</t>
  </si>
  <si>
    <t>Dentist</t>
  </si>
  <si>
    <t>08671930000682</t>
  </si>
  <si>
    <t>08671930004699</t>
  </si>
  <si>
    <t>50100027749298</t>
  </si>
  <si>
    <t>08671870001163</t>
  </si>
  <si>
    <t>drrayadav54@gmail.com</t>
  </si>
  <si>
    <t>drsakuntalay@gmail.com</t>
  </si>
  <si>
    <t>dranandkds@gmail.com</t>
  </si>
  <si>
    <t>ydvayushi31@gmail.com</t>
  </si>
  <si>
    <t>singhpranav07.2007@gmail.com</t>
  </si>
  <si>
    <t>Jyoti Devi</t>
  </si>
  <si>
    <t>amityadavkum.311@gmail.com</t>
  </si>
  <si>
    <t>Neha Singh</t>
  </si>
  <si>
    <t>As per Visit</t>
  </si>
  <si>
    <t>nehasingh345@gmail.com</t>
  </si>
  <si>
    <t>X-Ray Dark Room attendant</t>
  </si>
</sst>
</file>

<file path=xl/styles.xml><?xml version="1.0" encoding="utf-8"?>
<styleSheet xmlns="http://schemas.openxmlformats.org/spreadsheetml/2006/main">
  <numFmts count="2">
    <numFmt numFmtId="164" formatCode="###0.;###0."/>
    <numFmt numFmtId="165" formatCode="0.0"/>
  </numFmts>
  <fonts count="16"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8"/>
      <color indexed="8"/>
      <name val="Verdana"/>
      <family val="2"/>
      <charset val="1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indexed="8"/>
      <name val="Verdana"/>
      <family val="2"/>
      <charset val="1"/>
    </font>
    <font>
      <sz val="9"/>
      <color indexed="8"/>
      <name val="Calibri"/>
      <family val="2"/>
      <charset val="1"/>
    </font>
    <font>
      <b/>
      <sz val="14"/>
      <color indexed="8"/>
      <name val="Calibri"/>
      <family val="2"/>
      <charset val="1"/>
    </font>
    <font>
      <sz val="9"/>
      <color rgb="FF000000"/>
      <name val="Arial"/>
      <family val="2"/>
    </font>
    <font>
      <sz val="8"/>
      <name val="Arial"/>
      <family val="2"/>
    </font>
    <font>
      <b/>
      <sz val="14"/>
      <color rgb="FF000000"/>
      <name val="Calibri"/>
      <family val="2"/>
    </font>
    <font>
      <sz val="10"/>
      <color indexed="8"/>
      <name val="Arial"/>
      <family val="2"/>
    </font>
    <font>
      <sz val="10"/>
      <color rgb="FF000000"/>
      <name val="Times New Roman"/>
      <family val="1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57">
    <xf numFmtId="0" fontId="0" fillId="0" borderId="0" xfId="0"/>
    <xf numFmtId="0" fontId="1" fillId="0" borderId="0" xfId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4" fillId="0" borderId="1" xfId="1" applyNumberFormat="1" applyFont="1" applyBorder="1" applyAlignment="1">
      <alignment horizontal="right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7" fillId="0" borderId="0" xfId="1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1" applyAlignment="1">
      <alignment horizontal="left" vertical="center" wrapText="1"/>
    </xf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5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7" xfId="1" applyFont="1" applyBorder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1" fillId="0" borderId="0" xfId="1" applyAlignment="1">
      <alignment horizontal="right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1" applyFont="1" applyBorder="1" applyAlignment="1">
      <alignment horizontal="right" vertical="center" wrapText="1"/>
    </xf>
    <xf numFmtId="0" fontId="1" fillId="0" borderId="1" xfId="1" applyBorder="1" applyAlignment="1">
      <alignment horizontal="right" vertical="center" wrapText="1"/>
    </xf>
    <xf numFmtId="0" fontId="4" fillId="0" borderId="0" xfId="1" applyFont="1" applyAlignment="1">
      <alignment horizontal="righ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1" xfId="1" applyFont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14" fillId="2" borderId="1" xfId="2" applyFont="1" applyFill="1" applyBorder="1" applyAlignment="1">
      <alignment horizontal="center" vertical="center"/>
    </xf>
    <xf numFmtId="49" fontId="15" fillId="2" borderId="1" xfId="2" applyNumberFormat="1" applyFont="1" applyFill="1" applyBorder="1" applyAlignment="1">
      <alignment horizontal="left" vertical="center"/>
    </xf>
    <xf numFmtId="1" fontId="3" fillId="0" borderId="1" xfId="1" applyNumberFormat="1" applyFont="1" applyBorder="1" applyAlignment="1">
      <alignment horizontal="left" vertical="center" wrapText="1"/>
    </xf>
    <xf numFmtId="1" fontId="4" fillId="0" borderId="1" xfId="1" applyNumberFormat="1" applyFont="1" applyBorder="1" applyAlignment="1">
      <alignment horizontal="left" vertical="center" wrapText="1"/>
    </xf>
    <xf numFmtId="1" fontId="1" fillId="0" borderId="1" xfId="1" applyNumberFormat="1" applyBorder="1" applyAlignment="1">
      <alignment horizontal="left" vertical="center" wrapText="1"/>
    </xf>
    <xf numFmtId="1" fontId="12" fillId="0" borderId="1" xfId="1" applyNumberFormat="1" applyFont="1" applyBorder="1" applyAlignment="1">
      <alignment horizontal="left" vertical="center" wrapText="1"/>
    </xf>
    <xf numFmtId="1" fontId="4" fillId="0" borderId="0" xfId="1" applyNumberFormat="1" applyFont="1" applyAlignment="1">
      <alignment horizontal="left" vertical="center" wrapText="1"/>
    </xf>
    <xf numFmtId="1" fontId="1" fillId="0" borderId="0" xfId="1" applyNumberFormat="1" applyAlignment="1">
      <alignment horizontal="left" vertical="center" wrapText="1"/>
    </xf>
    <xf numFmtId="165" fontId="12" fillId="0" borderId="1" xfId="1" applyNumberFormat="1" applyFont="1" applyBorder="1" applyAlignment="1">
      <alignment vertical="center" wrapText="1"/>
    </xf>
    <xf numFmtId="165" fontId="12" fillId="0" borderId="1" xfId="1" applyNumberFormat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 wrapText="1"/>
    </xf>
    <xf numFmtId="1" fontId="12" fillId="0" borderId="1" xfId="1" applyNumberFormat="1" applyFont="1" applyBorder="1" applyAlignment="1">
      <alignment horizontal="center" vertical="center"/>
    </xf>
    <xf numFmtId="49" fontId="15" fillId="2" borderId="1" xfId="2" applyNumberFormat="1" applyFont="1" applyFill="1" applyBorder="1" applyAlignment="1">
      <alignment horizontal="right" vertical="center"/>
    </xf>
    <xf numFmtId="1" fontId="12" fillId="0" borderId="1" xfId="1" applyNumberFormat="1" applyFont="1" applyBorder="1" applyAlignment="1">
      <alignment horizontal="right" vertical="center" wrapText="1"/>
    </xf>
    <xf numFmtId="0" fontId="2" fillId="0" borderId="1" xfId="1" applyFont="1" applyBorder="1" applyAlignment="1">
      <alignment horizontal="left" vertical="center" wrapText="1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0</xdr:rowOff>
    </xdr:from>
    <xdr:to>
      <xdr:col>1</xdr:col>
      <xdr:colOff>1135380</xdr:colOff>
      <xdr:row>4</xdr:row>
      <xdr:rowOff>167640</xdr:rowOff>
    </xdr:to>
    <xdr:pic>
      <xdr:nvPicPr>
        <xdr:cNvPr id="1308" name="Picture 2">
          <a:extLst>
            <a:ext uri="{FF2B5EF4-FFF2-40B4-BE49-F238E27FC236}">
              <a16:creationId xmlns:a16="http://schemas.microsoft.com/office/drawing/2014/main" xmlns="" id="{DF05B289-4553-60CE-B4B2-B4F075771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88620" y="0"/>
          <a:ext cx="108966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niyadav582006@gmail.com" TargetMode="External"/><Relationship Id="rId1" Type="http://schemas.openxmlformats.org/officeDocument/2006/relationships/hyperlink" Target="mailto:khushhalivishwakarma886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zoomScaleNormal="100" workbookViewId="0">
      <selection activeCell="J10" sqref="J10"/>
    </sheetView>
  </sheetViews>
  <sheetFormatPr defaultColWidth="8.5703125" defaultRowHeight="15"/>
  <cols>
    <col min="1" max="1" width="5.140625" style="1" customWidth="1"/>
    <col min="2" max="2" width="28.140625" style="1" customWidth="1"/>
    <col min="3" max="3" width="30.28515625" style="17" customWidth="1"/>
    <col min="4" max="4" width="7.42578125" style="12" customWidth="1"/>
    <col min="5" max="5" width="8" style="1" customWidth="1"/>
    <col min="6" max="10" width="7.42578125" style="1" customWidth="1"/>
    <col min="11" max="11" width="16.7109375" style="40" customWidth="1"/>
    <col min="12" max="12" width="12.28515625" style="24" customWidth="1"/>
    <col min="13" max="13" width="30" style="13" customWidth="1"/>
    <col min="14" max="14" width="37.7109375" style="1" customWidth="1"/>
    <col min="15" max="16384" width="8.5703125" style="1"/>
  </cols>
  <sheetData>
    <row r="1" spans="1:13" ht="12.75" customHeight="1">
      <c r="A1" s="18" t="s">
        <v>45</v>
      </c>
      <c r="B1" s="19"/>
      <c r="C1" s="51" t="s">
        <v>46</v>
      </c>
      <c r="D1" s="51"/>
      <c r="E1" s="51"/>
      <c r="F1" s="51"/>
      <c r="G1" s="51"/>
      <c r="H1" s="51"/>
      <c r="I1" s="51"/>
      <c r="J1" s="51"/>
      <c r="K1" s="51"/>
      <c r="L1" s="51"/>
      <c r="M1" s="52"/>
    </row>
    <row r="2" spans="1:13">
      <c r="A2" s="20"/>
      <c r="B2" s="21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</row>
    <row r="3" spans="1:13">
      <c r="A3" s="20"/>
      <c r="B3" s="21"/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1:13">
      <c r="A4" s="20"/>
      <c r="B4" s="21"/>
      <c r="C4" s="53"/>
      <c r="D4" s="53"/>
      <c r="E4" s="53"/>
      <c r="F4" s="53"/>
      <c r="G4" s="53"/>
      <c r="H4" s="53"/>
      <c r="I4" s="53"/>
      <c r="J4" s="53"/>
      <c r="K4" s="53"/>
      <c r="L4" s="53"/>
      <c r="M4" s="54"/>
    </row>
    <row r="5" spans="1:13">
      <c r="A5" s="22"/>
      <c r="B5" s="23"/>
      <c r="C5" s="55"/>
      <c r="D5" s="55"/>
      <c r="E5" s="55"/>
      <c r="F5" s="55"/>
      <c r="G5" s="55"/>
      <c r="H5" s="55"/>
      <c r="I5" s="55"/>
      <c r="J5" s="55"/>
      <c r="K5" s="55"/>
      <c r="L5" s="55"/>
      <c r="M5" s="56"/>
    </row>
    <row r="6" spans="1:13" ht="21" customHeight="1">
      <c r="A6" s="49" t="s">
        <v>0</v>
      </c>
      <c r="B6" s="49"/>
      <c r="C6" s="50" t="s">
        <v>15</v>
      </c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3" ht="28.5" customHeight="1">
      <c r="A7" s="49" t="s">
        <v>1</v>
      </c>
      <c r="B7" s="49"/>
      <c r="C7" s="50" t="s">
        <v>40</v>
      </c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13" ht="46.15" customHeight="1">
      <c r="A8" s="2" t="s">
        <v>2</v>
      </c>
      <c r="B8" s="2" t="s">
        <v>3</v>
      </c>
      <c r="C8" s="15" t="s">
        <v>4</v>
      </c>
      <c r="D8" s="3" t="s">
        <v>5</v>
      </c>
      <c r="E8" s="2" t="s">
        <v>6</v>
      </c>
      <c r="F8" s="3" t="s">
        <v>7</v>
      </c>
      <c r="G8" s="3" t="s">
        <v>8</v>
      </c>
      <c r="H8" s="3" t="s">
        <v>9</v>
      </c>
      <c r="I8" s="2" t="s">
        <v>10</v>
      </c>
      <c r="J8" s="2" t="s">
        <v>11</v>
      </c>
      <c r="K8" s="35" t="s">
        <v>12</v>
      </c>
      <c r="L8" s="27" t="s">
        <v>13</v>
      </c>
      <c r="M8" s="14" t="s">
        <v>14</v>
      </c>
    </row>
    <row r="9" spans="1:13" ht="30" customHeight="1">
      <c r="A9" s="4">
        <v>1</v>
      </c>
      <c r="B9" s="5" t="s">
        <v>55</v>
      </c>
      <c r="C9" s="16" t="s">
        <v>56</v>
      </c>
      <c r="D9" s="6">
        <v>131100</v>
      </c>
      <c r="E9" s="6">
        <f>D9</f>
        <v>131100</v>
      </c>
      <c r="F9" s="6">
        <v>0</v>
      </c>
      <c r="G9" s="6">
        <f>(D9*10/100)</f>
        <v>13110</v>
      </c>
      <c r="H9" s="6">
        <f>(D9-G9)</f>
        <v>117990</v>
      </c>
      <c r="I9" s="6">
        <f>H9</f>
        <v>117990</v>
      </c>
      <c r="J9" s="6" t="s">
        <v>36</v>
      </c>
      <c r="K9" s="36">
        <v>4045000102236580</v>
      </c>
      <c r="L9" s="8">
        <v>9935568575</v>
      </c>
      <c r="M9" s="30" t="s">
        <v>16</v>
      </c>
    </row>
    <row r="10" spans="1:13" ht="30" customHeight="1">
      <c r="A10" s="4">
        <v>2</v>
      </c>
      <c r="B10" s="7" t="s">
        <v>109</v>
      </c>
      <c r="C10" s="16" t="s">
        <v>57</v>
      </c>
      <c r="D10" s="6">
        <v>32000</v>
      </c>
      <c r="E10" s="6">
        <f t="shared" ref="E10" si="0">D10</f>
        <v>32000</v>
      </c>
      <c r="F10" s="6">
        <v>0</v>
      </c>
      <c r="G10" s="6">
        <v>0</v>
      </c>
      <c r="H10" s="6">
        <f t="shared" ref="H10" si="1">D10</f>
        <v>32000</v>
      </c>
      <c r="I10" s="6">
        <f t="shared" ref="I10" si="2">D10</f>
        <v>32000</v>
      </c>
      <c r="J10" s="6" t="s">
        <v>36</v>
      </c>
      <c r="K10" s="36" t="s">
        <v>180</v>
      </c>
      <c r="L10" s="8" t="s">
        <v>168</v>
      </c>
      <c r="M10" s="5" t="s">
        <v>147</v>
      </c>
    </row>
    <row r="11" spans="1:13" ht="30" customHeight="1">
      <c r="A11" s="4">
        <v>3</v>
      </c>
      <c r="B11" s="5" t="s">
        <v>58</v>
      </c>
      <c r="C11" s="16" t="s">
        <v>59</v>
      </c>
      <c r="D11" s="6">
        <v>56100</v>
      </c>
      <c r="E11" s="6">
        <v>56100</v>
      </c>
      <c r="F11" s="6">
        <v>0</v>
      </c>
      <c r="G11" s="6">
        <v>0</v>
      </c>
      <c r="H11" s="6">
        <v>56100</v>
      </c>
      <c r="I11" s="6">
        <v>56100</v>
      </c>
      <c r="J11" s="6" t="s">
        <v>36</v>
      </c>
      <c r="K11" s="36">
        <v>2285000100112000</v>
      </c>
      <c r="L11" s="8" t="s">
        <v>162</v>
      </c>
      <c r="M11" s="5" t="s">
        <v>139</v>
      </c>
    </row>
    <row r="12" spans="1:13" ht="30" customHeight="1">
      <c r="A12" s="4">
        <v>4</v>
      </c>
      <c r="B12" s="5" t="s">
        <v>60</v>
      </c>
      <c r="C12" s="16" t="s">
        <v>61</v>
      </c>
      <c r="D12" s="6">
        <v>90000</v>
      </c>
      <c r="E12" s="6">
        <v>90000</v>
      </c>
      <c r="F12" s="6">
        <v>0</v>
      </c>
      <c r="G12" s="6">
        <v>0</v>
      </c>
      <c r="H12" s="6">
        <v>90000</v>
      </c>
      <c r="I12" s="6">
        <v>90000</v>
      </c>
      <c r="J12" s="6" t="s">
        <v>36</v>
      </c>
      <c r="K12" s="36">
        <v>50100489804740</v>
      </c>
      <c r="L12" s="8">
        <v>9919801055</v>
      </c>
      <c r="M12" s="5" t="s">
        <v>41</v>
      </c>
    </row>
    <row r="13" spans="1:13" ht="30" customHeight="1">
      <c r="A13" s="4">
        <v>5</v>
      </c>
      <c r="B13" s="5" t="s">
        <v>62</v>
      </c>
      <c r="C13" s="16" t="s">
        <v>63</v>
      </c>
      <c r="D13" s="6">
        <v>56100</v>
      </c>
      <c r="E13" s="6">
        <v>56100</v>
      </c>
      <c r="F13" s="6">
        <v>0</v>
      </c>
      <c r="G13" s="6">
        <v>0</v>
      </c>
      <c r="H13" s="6">
        <v>56100</v>
      </c>
      <c r="I13" s="6">
        <v>56100</v>
      </c>
      <c r="J13" s="6" t="s">
        <v>36</v>
      </c>
      <c r="K13" s="36">
        <v>2201000128268</v>
      </c>
      <c r="L13" s="8">
        <v>7385924145</v>
      </c>
      <c r="M13" s="5" t="s">
        <v>140</v>
      </c>
    </row>
    <row r="14" spans="1:13" ht="30" customHeight="1">
      <c r="A14" s="4">
        <v>6</v>
      </c>
      <c r="B14" s="5" t="s">
        <v>64</v>
      </c>
      <c r="C14" s="16" t="s">
        <v>65</v>
      </c>
      <c r="D14" s="6">
        <v>56100</v>
      </c>
      <c r="E14" s="6">
        <v>56100</v>
      </c>
      <c r="F14" s="6">
        <v>0</v>
      </c>
      <c r="G14" s="6">
        <v>0</v>
      </c>
      <c r="H14" s="6">
        <v>56100</v>
      </c>
      <c r="I14" s="6">
        <v>56100</v>
      </c>
      <c r="J14" s="6" t="s">
        <v>36</v>
      </c>
      <c r="K14" s="36">
        <v>35926659724</v>
      </c>
      <c r="L14" s="8">
        <v>7376166976</v>
      </c>
      <c r="M14" s="5" t="s">
        <v>39</v>
      </c>
    </row>
    <row r="15" spans="1:13" ht="30" customHeight="1">
      <c r="A15" s="4">
        <v>7</v>
      </c>
      <c r="B15" s="5" t="s">
        <v>66</v>
      </c>
      <c r="C15" s="16" t="s">
        <v>67</v>
      </c>
      <c r="D15" s="6">
        <v>56100</v>
      </c>
      <c r="E15" s="6">
        <v>56100</v>
      </c>
      <c r="F15" s="6">
        <v>0</v>
      </c>
      <c r="G15" s="6">
        <v>0</v>
      </c>
      <c r="H15" s="6">
        <v>56100</v>
      </c>
      <c r="I15" s="6">
        <v>56100</v>
      </c>
      <c r="J15" s="6" t="s">
        <v>36</v>
      </c>
      <c r="K15" s="36">
        <v>30917231978</v>
      </c>
      <c r="L15" s="8">
        <v>8375066931</v>
      </c>
      <c r="M15" s="5" t="s">
        <v>52</v>
      </c>
    </row>
    <row r="16" spans="1:13" ht="30" customHeight="1">
      <c r="A16" s="4">
        <v>8</v>
      </c>
      <c r="B16" s="5" t="s">
        <v>68</v>
      </c>
      <c r="C16" s="16" t="s">
        <v>69</v>
      </c>
      <c r="D16" s="6">
        <v>70000</v>
      </c>
      <c r="E16" s="6">
        <v>70000</v>
      </c>
      <c r="F16" s="6">
        <v>0</v>
      </c>
      <c r="G16" s="6">
        <v>0</v>
      </c>
      <c r="H16" s="6">
        <v>70000</v>
      </c>
      <c r="I16" s="6">
        <v>70000</v>
      </c>
      <c r="J16" s="6" t="s">
        <v>36</v>
      </c>
      <c r="K16" s="37">
        <v>50100462981196</v>
      </c>
      <c r="L16" s="28">
        <v>9565334833</v>
      </c>
      <c r="M16" s="5" t="s">
        <v>43</v>
      </c>
    </row>
    <row r="17" spans="1:13" ht="30" customHeight="1">
      <c r="A17" s="4">
        <v>9</v>
      </c>
      <c r="B17" s="5" t="s">
        <v>70</v>
      </c>
      <c r="C17" s="16" t="s">
        <v>71</v>
      </c>
      <c r="D17" s="6">
        <v>56100</v>
      </c>
      <c r="E17" s="6">
        <v>56100</v>
      </c>
      <c r="F17" s="6">
        <v>0</v>
      </c>
      <c r="G17" s="6">
        <v>0</v>
      </c>
      <c r="H17" s="6">
        <v>56100</v>
      </c>
      <c r="I17" s="6">
        <v>56100</v>
      </c>
      <c r="J17" s="6" t="s">
        <v>36</v>
      </c>
      <c r="K17" s="37">
        <v>50100256965410</v>
      </c>
      <c r="L17" s="28">
        <v>9118180180</v>
      </c>
      <c r="M17" s="5" t="s">
        <v>42</v>
      </c>
    </row>
    <row r="18" spans="1:13" ht="30" customHeight="1">
      <c r="A18" s="4">
        <v>10</v>
      </c>
      <c r="B18" s="5" t="s">
        <v>252</v>
      </c>
      <c r="C18" s="16" t="s">
        <v>73</v>
      </c>
      <c r="D18" s="6">
        <v>80000</v>
      </c>
      <c r="E18" s="6">
        <v>80000</v>
      </c>
      <c r="F18" s="6">
        <v>0</v>
      </c>
      <c r="G18" s="6">
        <v>0</v>
      </c>
      <c r="H18" s="6">
        <v>80000</v>
      </c>
      <c r="I18" s="6">
        <v>80000</v>
      </c>
      <c r="J18" s="6" t="s">
        <v>253</v>
      </c>
      <c r="K18" s="37">
        <v>50100605121751</v>
      </c>
      <c r="L18" s="28">
        <v>8791720882</v>
      </c>
      <c r="M18" s="5" t="s">
        <v>271</v>
      </c>
    </row>
    <row r="19" spans="1:13" ht="30" customHeight="1">
      <c r="A19" s="4">
        <v>11</v>
      </c>
      <c r="B19" s="5" t="s">
        <v>72</v>
      </c>
      <c r="C19" s="7" t="s">
        <v>73</v>
      </c>
      <c r="D19" s="6">
        <v>56100</v>
      </c>
      <c r="E19" s="6">
        <f>D19</f>
        <v>56100</v>
      </c>
      <c r="F19" s="6">
        <v>0</v>
      </c>
      <c r="G19" s="6">
        <v>0</v>
      </c>
      <c r="H19" s="6">
        <f>D19</f>
        <v>56100</v>
      </c>
      <c r="I19" s="6">
        <f>D19</f>
        <v>56100</v>
      </c>
      <c r="J19" s="6" t="s">
        <v>36</v>
      </c>
      <c r="K19" s="36">
        <v>50100450267284</v>
      </c>
      <c r="L19" s="8">
        <v>8887939722</v>
      </c>
      <c r="M19" s="5" t="s">
        <v>44</v>
      </c>
    </row>
    <row r="20" spans="1:13" ht="30" customHeight="1">
      <c r="A20" s="4">
        <v>12</v>
      </c>
      <c r="B20" s="5" t="s">
        <v>203</v>
      </c>
      <c r="C20" s="7" t="s">
        <v>201</v>
      </c>
      <c r="D20" s="6">
        <v>32000</v>
      </c>
      <c r="E20" s="6">
        <f t="shared" ref="E20:E90" si="3">D20</f>
        <v>32000</v>
      </c>
      <c r="F20" s="6">
        <v>0</v>
      </c>
      <c r="G20" s="6">
        <v>0</v>
      </c>
      <c r="H20" s="6">
        <f t="shared" ref="H20:H90" si="4">D20</f>
        <v>32000</v>
      </c>
      <c r="I20" s="6">
        <f t="shared" ref="I20:I90" si="5">D20</f>
        <v>32000</v>
      </c>
      <c r="J20" s="6" t="s">
        <v>36</v>
      </c>
      <c r="K20" s="36">
        <v>51601002804</v>
      </c>
      <c r="L20" s="8">
        <v>8853166222</v>
      </c>
      <c r="M20" s="5" t="s">
        <v>28</v>
      </c>
    </row>
    <row r="21" spans="1:13" ht="30" customHeight="1">
      <c r="A21" s="4">
        <v>13</v>
      </c>
      <c r="B21" s="5" t="s">
        <v>204</v>
      </c>
      <c r="C21" s="7" t="s">
        <v>201</v>
      </c>
      <c r="D21" s="6">
        <v>25000</v>
      </c>
      <c r="E21" s="6">
        <f t="shared" si="3"/>
        <v>25000</v>
      </c>
      <c r="F21" s="6">
        <v>0</v>
      </c>
      <c r="G21" s="6">
        <v>0</v>
      </c>
      <c r="H21" s="6">
        <f t="shared" si="4"/>
        <v>25000</v>
      </c>
      <c r="I21" s="6">
        <f t="shared" si="5"/>
        <v>25000</v>
      </c>
      <c r="J21" s="6" t="s">
        <v>36</v>
      </c>
      <c r="K21" s="36">
        <v>4688000103429770</v>
      </c>
      <c r="L21" s="8">
        <v>9451066725</v>
      </c>
      <c r="M21" s="5" t="s">
        <v>47</v>
      </c>
    </row>
    <row r="22" spans="1:13" ht="29.45" customHeight="1">
      <c r="A22" s="4">
        <v>14</v>
      </c>
      <c r="B22" s="5" t="s">
        <v>206</v>
      </c>
      <c r="C22" s="7" t="s">
        <v>202</v>
      </c>
      <c r="D22" s="6">
        <v>33000</v>
      </c>
      <c r="E22" s="6">
        <f>D22</f>
        <v>33000</v>
      </c>
      <c r="F22" s="6">
        <v>0</v>
      </c>
      <c r="G22" s="6">
        <v>0</v>
      </c>
      <c r="H22" s="6">
        <f>D22</f>
        <v>33000</v>
      </c>
      <c r="I22" s="6">
        <f>D22</f>
        <v>33000</v>
      </c>
      <c r="J22" s="6" t="s">
        <v>36</v>
      </c>
      <c r="K22" s="36">
        <v>5319790445</v>
      </c>
      <c r="L22" s="8" t="s">
        <v>163</v>
      </c>
      <c r="M22" s="7" t="s">
        <v>141</v>
      </c>
    </row>
    <row r="23" spans="1:13" ht="29.45" customHeight="1">
      <c r="A23" s="4">
        <v>15</v>
      </c>
      <c r="B23" s="5" t="s">
        <v>205</v>
      </c>
      <c r="C23" s="7" t="s">
        <v>74</v>
      </c>
      <c r="D23" s="6">
        <v>25000</v>
      </c>
      <c r="E23" s="6">
        <f t="shared" si="3"/>
        <v>25000</v>
      </c>
      <c r="F23" s="6">
        <v>0</v>
      </c>
      <c r="G23" s="6">
        <v>0</v>
      </c>
      <c r="H23" s="6">
        <f t="shared" si="4"/>
        <v>25000</v>
      </c>
      <c r="I23" s="6">
        <f t="shared" si="5"/>
        <v>25000</v>
      </c>
      <c r="J23" s="6" t="s">
        <v>36</v>
      </c>
      <c r="K23" s="36">
        <v>50100462981374</v>
      </c>
      <c r="L23" s="8">
        <v>6391863147</v>
      </c>
      <c r="M23" s="7" t="s">
        <v>29</v>
      </c>
    </row>
    <row r="24" spans="1:13" ht="29.45" customHeight="1">
      <c r="A24" s="4">
        <v>16</v>
      </c>
      <c r="B24" s="7" t="s">
        <v>272</v>
      </c>
      <c r="C24" s="7" t="s">
        <v>75</v>
      </c>
      <c r="D24" s="6">
        <v>15000</v>
      </c>
      <c r="E24" s="6">
        <f t="shared" ref="E24" si="6">D24</f>
        <v>15000</v>
      </c>
      <c r="F24" s="6">
        <v>0</v>
      </c>
      <c r="G24" s="6">
        <v>0</v>
      </c>
      <c r="H24" s="6">
        <f t="shared" ref="H24" si="7">D24</f>
        <v>15000</v>
      </c>
      <c r="I24" s="6">
        <f t="shared" ref="I24" si="8">D24</f>
        <v>15000</v>
      </c>
      <c r="J24" s="6" t="s">
        <v>36</v>
      </c>
      <c r="K24" s="36">
        <v>50100536211790</v>
      </c>
      <c r="L24" s="8">
        <v>9838781104</v>
      </c>
      <c r="M24" s="5" t="s">
        <v>27</v>
      </c>
    </row>
    <row r="25" spans="1:13" ht="30" customHeight="1">
      <c r="A25" s="4">
        <v>17</v>
      </c>
      <c r="B25" s="5" t="s">
        <v>76</v>
      </c>
      <c r="C25" s="7" t="s">
        <v>77</v>
      </c>
      <c r="D25" s="6">
        <v>15000</v>
      </c>
      <c r="E25" s="6">
        <f t="shared" si="3"/>
        <v>15000</v>
      </c>
      <c r="F25" s="6">
        <v>0</v>
      </c>
      <c r="G25" s="6">
        <v>0</v>
      </c>
      <c r="H25" s="6">
        <f t="shared" si="4"/>
        <v>15000</v>
      </c>
      <c r="I25" s="6">
        <f t="shared" si="5"/>
        <v>15000</v>
      </c>
      <c r="J25" s="6" t="s">
        <v>36</v>
      </c>
      <c r="K25" s="36" t="s">
        <v>175</v>
      </c>
      <c r="L25" s="8" t="s">
        <v>164</v>
      </c>
      <c r="M25" s="7" t="s">
        <v>142</v>
      </c>
    </row>
    <row r="26" spans="1:13" ht="30" customHeight="1">
      <c r="A26" s="4">
        <v>18</v>
      </c>
      <c r="B26" s="5" t="s">
        <v>78</v>
      </c>
      <c r="C26" s="7" t="s">
        <v>79</v>
      </c>
      <c r="D26" s="6">
        <v>6000</v>
      </c>
      <c r="E26" s="6">
        <f t="shared" si="3"/>
        <v>6000</v>
      </c>
      <c r="F26" s="6">
        <v>0</v>
      </c>
      <c r="G26" s="6">
        <v>0</v>
      </c>
      <c r="H26" s="6">
        <f t="shared" si="4"/>
        <v>6000</v>
      </c>
      <c r="I26" s="6">
        <f t="shared" si="5"/>
        <v>6000</v>
      </c>
      <c r="J26" s="6" t="s">
        <v>36</v>
      </c>
      <c r="K26" s="36">
        <v>44793955201</v>
      </c>
      <c r="L26" s="8">
        <v>7084633415</v>
      </c>
      <c r="M26" s="26" t="s">
        <v>229</v>
      </c>
    </row>
    <row r="27" spans="1:13" ht="30" customHeight="1">
      <c r="A27" s="4">
        <v>19</v>
      </c>
      <c r="B27" s="5" t="s">
        <v>80</v>
      </c>
      <c r="C27" s="7" t="s">
        <v>20</v>
      </c>
      <c r="D27" s="6">
        <v>6000</v>
      </c>
      <c r="E27" s="6">
        <f t="shared" si="3"/>
        <v>6000</v>
      </c>
      <c r="F27" s="6">
        <v>0</v>
      </c>
      <c r="G27" s="6">
        <v>0</v>
      </c>
      <c r="H27" s="6">
        <f t="shared" si="4"/>
        <v>6000</v>
      </c>
      <c r="I27" s="6">
        <f t="shared" si="5"/>
        <v>6000</v>
      </c>
      <c r="J27" s="6" t="s">
        <v>36</v>
      </c>
      <c r="K27" s="36">
        <v>695302130000257</v>
      </c>
      <c r="L27" s="8">
        <v>7408858274</v>
      </c>
      <c r="M27" s="7" t="s">
        <v>49</v>
      </c>
    </row>
    <row r="28" spans="1:13" ht="30" customHeight="1">
      <c r="A28" s="4">
        <v>20</v>
      </c>
      <c r="B28" s="7" t="s">
        <v>242</v>
      </c>
      <c r="C28" s="7" t="s">
        <v>81</v>
      </c>
      <c r="D28" s="6">
        <v>5000</v>
      </c>
      <c r="E28" s="6">
        <f t="shared" si="3"/>
        <v>5000</v>
      </c>
      <c r="F28" s="6">
        <v>0</v>
      </c>
      <c r="G28" s="6">
        <v>0</v>
      </c>
      <c r="H28" s="6">
        <f t="shared" si="4"/>
        <v>5000</v>
      </c>
      <c r="I28" s="6">
        <f t="shared" si="5"/>
        <v>5000</v>
      </c>
      <c r="J28" s="6" t="s">
        <v>36</v>
      </c>
      <c r="K28" s="36">
        <v>33534218097</v>
      </c>
      <c r="L28" s="8" t="s">
        <v>165</v>
      </c>
      <c r="M28" s="7" t="s">
        <v>38</v>
      </c>
    </row>
    <row r="29" spans="1:13" ht="30" customHeight="1">
      <c r="A29" s="4">
        <v>21</v>
      </c>
      <c r="B29" s="7" t="s">
        <v>82</v>
      </c>
      <c r="C29" s="7" t="s">
        <v>81</v>
      </c>
      <c r="D29" s="6">
        <v>5500</v>
      </c>
      <c r="E29" s="6">
        <f t="shared" si="3"/>
        <v>5500</v>
      </c>
      <c r="F29" s="6">
        <v>0</v>
      </c>
      <c r="G29" s="6">
        <v>0</v>
      </c>
      <c r="H29" s="6">
        <f t="shared" si="4"/>
        <v>5500</v>
      </c>
      <c r="I29" s="6">
        <f t="shared" si="5"/>
        <v>5500</v>
      </c>
      <c r="J29" s="6" t="s">
        <v>36</v>
      </c>
      <c r="K29" s="36">
        <v>595302120002902</v>
      </c>
      <c r="L29" s="8">
        <v>9554787515</v>
      </c>
      <c r="M29" s="5" t="s">
        <v>38</v>
      </c>
    </row>
    <row r="30" spans="1:13" ht="30" customHeight="1">
      <c r="A30" s="4">
        <v>22</v>
      </c>
      <c r="B30" s="7" t="s">
        <v>83</v>
      </c>
      <c r="C30" s="7" t="s">
        <v>81</v>
      </c>
      <c r="D30" s="6">
        <v>5500</v>
      </c>
      <c r="E30" s="6">
        <f t="shared" si="3"/>
        <v>5500</v>
      </c>
      <c r="F30" s="6">
        <v>0</v>
      </c>
      <c r="G30" s="6">
        <v>0</v>
      </c>
      <c r="H30" s="6">
        <f t="shared" si="4"/>
        <v>5500</v>
      </c>
      <c r="I30" s="6">
        <f t="shared" si="5"/>
        <v>5500</v>
      </c>
      <c r="J30" s="6" t="s">
        <v>36</v>
      </c>
      <c r="K30" s="36">
        <v>40040212000685</v>
      </c>
      <c r="L30" s="8">
        <v>6391565381</v>
      </c>
      <c r="M30" s="5" t="s">
        <v>38</v>
      </c>
    </row>
    <row r="31" spans="1:13" ht="30" customHeight="1">
      <c r="A31" s="4">
        <v>23</v>
      </c>
      <c r="B31" s="7" t="s">
        <v>255</v>
      </c>
      <c r="C31" s="7" t="s">
        <v>259</v>
      </c>
      <c r="D31" s="6" t="s">
        <v>233</v>
      </c>
      <c r="E31" s="6" t="s">
        <v>233</v>
      </c>
      <c r="F31" s="6">
        <v>0</v>
      </c>
      <c r="G31" s="6">
        <v>0</v>
      </c>
      <c r="H31" s="6" t="str">
        <f t="shared" ref="H31" si="9">D31</f>
        <v>1000/ Per Visit</v>
      </c>
      <c r="I31" s="6" t="str">
        <f t="shared" ref="I31" si="10">D31</f>
        <v>1000/ Per Visit</v>
      </c>
      <c r="J31" s="6" t="s">
        <v>36</v>
      </c>
      <c r="K31" s="45" t="s">
        <v>265</v>
      </c>
      <c r="L31" s="8">
        <v>9415273329</v>
      </c>
      <c r="M31" s="26" t="s">
        <v>267</v>
      </c>
    </row>
    <row r="32" spans="1:13" ht="30" customHeight="1">
      <c r="A32" s="4">
        <v>24</v>
      </c>
      <c r="B32" s="7" t="s">
        <v>256</v>
      </c>
      <c r="C32" s="7" t="s">
        <v>260</v>
      </c>
      <c r="D32" s="6" t="s">
        <v>233</v>
      </c>
      <c r="E32" s="6" t="s">
        <v>233</v>
      </c>
      <c r="F32" s="6">
        <v>0</v>
      </c>
      <c r="G32" s="6">
        <v>0</v>
      </c>
      <c r="H32" s="6" t="str">
        <f t="shared" ref="H32:H34" si="11">D32</f>
        <v>1000/ Per Visit</v>
      </c>
      <c r="I32" s="6" t="str">
        <f t="shared" ref="I32:I34" si="12">D32</f>
        <v>1000/ Per Visit</v>
      </c>
      <c r="J32" s="6" t="s">
        <v>36</v>
      </c>
      <c r="K32" s="45" t="s">
        <v>263</v>
      </c>
      <c r="L32" s="8">
        <v>9415207436</v>
      </c>
      <c r="M32" s="26" t="s">
        <v>268</v>
      </c>
    </row>
    <row r="33" spans="1:13" ht="30" customHeight="1">
      <c r="A33" s="4">
        <v>25</v>
      </c>
      <c r="B33" s="7" t="s">
        <v>257</v>
      </c>
      <c r="C33" s="7" t="s">
        <v>261</v>
      </c>
      <c r="D33" s="6" t="s">
        <v>233</v>
      </c>
      <c r="E33" s="6" t="s">
        <v>233</v>
      </c>
      <c r="F33" s="6">
        <v>0</v>
      </c>
      <c r="G33" s="6">
        <v>0</v>
      </c>
      <c r="H33" s="6" t="str">
        <f t="shared" si="11"/>
        <v>1000/ Per Visit</v>
      </c>
      <c r="I33" s="6" t="str">
        <f t="shared" si="12"/>
        <v>1000/ Per Visit</v>
      </c>
      <c r="J33" s="6" t="s">
        <v>36</v>
      </c>
      <c r="K33" s="45" t="s">
        <v>264</v>
      </c>
      <c r="L33" s="8">
        <v>6390691111</v>
      </c>
      <c r="M33" s="26" t="s">
        <v>269</v>
      </c>
    </row>
    <row r="34" spans="1:13" ht="30" customHeight="1">
      <c r="A34" s="4">
        <v>26</v>
      </c>
      <c r="B34" s="7" t="s">
        <v>258</v>
      </c>
      <c r="C34" s="7" t="s">
        <v>262</v>
      </c>
      <c r="D34" s="6" t="s">
        <v>233</v>
      </c>
      <c r="E34" s="6" t="s">
        <v>233</v>
      </c>
      <c r="F34" s="6">
        <v>0</v>
      </c>
      <c r="G34" s="6">
        <v>0</v>
      </c>
      <c r="H34" s="6" t="str">
        <f t="shared" si="11"/>
        <v>1000/ Per Visit</v>
      </c>
      <c r="I34" s="6" t="str">
        <f t="shared" si="12"/>
        <v>1000/ Per Visit</v>
      </c>
      <c r="J34" s="6" t="s">
        <v>36</v>
      </c>
      <c r="K34" s="45" t="s">
        <v>266</v>
      </c>
      <c r="L34" s="8">
        <v>9919185005</v>
      </c>
      <c r="M34" s="26" t="s">
        <v>270</v>
      </c>
    </row>
    <row r="35" spans="1:13" ht="30" customHeight="1">
      <c r="A35" s="4">
        <v>27</v>
      </c>
      <c r="B35" s="5" t="s">
        <v>84</v>
      </c>
      <c r="C35" s="7" t="s">
        <v>85</v>
      </c>
      <c r="D35" s="6" t="s">
        <v>233</v>
      </c>
      <c r="E35" s="6" t="str">
        <f t="shared" si="3"/>
        <v>1000/ Per Visit</v>
      </c>
      <c r="F35" s="6">
        <v>0</v>
      </c>
      <c r="G35" s="6">
        <v>0</v>
      </c>
      <c r="H35" s="6" t="str">
        <f t="shared" si="4"/>
        <v>1000/ Per Visit</v>
      </c>
      <c r="I35" s="6" t="str">
        <f t="shared" si="5"/>
        <v>1000/ Per Visit</v>
      </c>
      <c r="J35" s="6" t="s">
        <v>36</v>
      </c>
      <c r="K35" s="36" t="s">
        <v>176</v>
      </c>
      <c r="L35" s="8">
        <v>9129773253</v>
      </c>
      <c r="M35" s="7" t="s">
        <v>25</v>
      </c>
    </row>
    <row r="36" spans="1:13" ht="30" customHeight="1">
      <c r="A36" s="4">
        <v>28</v>
      </c>
      <c r="B36" s="5" t="s">
        <v>86</v>
      </c>
      <c r="C36" s="7" t="s">
        <v>22</v>
      </c>
      <c r="D36" s="6" t="s">
        <v>233</v>
      </c>
      <c r="E36" s="6" t="str">
        <f t="shared" si="3"/>
        <v>1000/ Per Visit</v>
      </c>
      <c r="F36" s="6">
        <v>0</v>
      </c>
      <c r="G36" s="6">
        <v>0</v>
      </c>
      <c r="H36" s="6" t="str">
        <f t="shared" si="4"/>
        <v>1000/ Per Visit</v>
      </c>
      <c r="I36" s="6" t="str">
        <f t="shared" si="5"/>
        <v>1000/ Per Visit</v>
      </c>
      <c r="J36" s="6" t="s">
        <v>36</v>
      </c>
      <c r="K36" s="36" t="s">
        <v>35</v>
      </c>
      <c r="L36" s="8">
        <v>8859921803</v>
      </c>
      <c r="M36" s="7" t="s">
        <v>24</v>
      </c>
    </row>
    <row r="37" spans="1:13" ht="30" customHeight="1">
      <c r="A37" s="4">
        <v>29</v>
      </c>
      <c r="B37" s="5" t="s">
        <v>87</v>
      </c>
      <c r="C37" s="7" t="s">
        <v>23</v>
      </c>
      <c r="D37" s="6" t="s">
        <v>233</v>
      </c>
      <c r="E37" s="6" t="str">
        <f t="shared" si="3"/>
        <v>1000/ Per Visit</v>
      </c>
      <c r="F37" s="6">
        <v>0</v>
      </c>
      <c r="G37" s="6">
        <v>0</v>
      </c>
      <c r="H37" s="6" t="str">
        <f t="shared" si="4"/>
        <v>1000/ Per Visit</v>
      </c>
      <c r="I37" s="6" t="str">
        <f t="shared" si="5"/>
        <v>1000/ Per Visit</v>
      </c>
      <c r="J37" s="6" t="s">
        <v>36</v>
      </c>
      <c r="K37" s="36" t="s">
        <v>37</v>
      </c>
      <c r="L37" s="8">
        <v>7985607292</v>
      </c>
      <c r="M37" s="7" t="s">
        <v>26</v>
      </c>
    </row>
    <row r="38" spans="1:13" ht="30" customHeight="1">
      <c r="A38" s="4">
        <v>30</v>
      </c>
      <c r="B38" s="5" t="s">
        <v>228</v>
      </c>
      <c r="C38" s="7" t="s">
        <v>88</v>
      </c>
      <c r="D38" s="6">
        <v>8000</v>
      </c>
      <c r="E38" s="6">
        <f t="shared" si="3"/>
        <v>8000</v>
      </c>
      <c r="F38" s="6">
        <v>0</v>
      </c>
      <c r="G38" s="6">
        <v>0</v>
      </c>
      <c r="H38" s="6">
        <f t="shared" si="4"/>
        <v>8000</v>
      </c>
      <c r="I38" s="6">
        <f t="shared" si="5"/>
        <v>8000</v>
      </c>
      <c r="J38" s="6" t="s">
        <v>36</v>
      </c>
      <c r="K38" s="36">
        <v>50100523811004</v>
      </c>
      <c r="L38" s="8">
        <v>8090275663</v>
      </c>
      <c r="M38" s="5" t="s">
        <v>143</v>
      </c>
    </row>
    <row r="39" spans="1:13" ht="30" customHeight="1">
      <c r="A39" s="4">
        <v>31</v>
      </c>
      <c r="B39" s="5" t="s">
        <v>89</v>
      </c>
      <c r="C39" s="7" t="s">
        <v>90</v>
      </c>
      <c r="D39" s="6">
        <v>12000</v>
      </c>
      <c r="E39" s="6">
        <f t="shared" si="3"/>
        <v>12000</v>
      </c>
      <c r="F39" s="6">
        <v>0</v>
      </c>
      <c r="G39" s="6">
        <v>0</v>
      </c>
      <c r="H39" s="6">
        <f t="shared" si="4"/>
        <v>12000</v>
      </c>
      <c r="I39" s="6">
        <f t="shared" si="5"/>
        <v>12000</v>
      </c>
      <c r="J39" s="6" t="s">
        <v>36</v>
      </c>
      <c r="K39" s="36">
        <v>50100534907682</v>
      </c>
      <c r="L39" s="8">
        <v>8924879228</v>
      </c>
      <c r="M39" s="5" t="s">
        <v>18</v>
      </c>
    </row>
    <row r="40" spans="1:13" ht="30" customHeight="1">
      <c r="A40" s="4">
        <v>32</v>
      </c>
      <c r="B40" s="5" t="s">
        <v>91</v>
      </c>
      <c r="C40" s="7" t="s">
        <v>90</v>
      </c>
      <c r="D40" s="6">
        <v>8000</v>
      </c>
      <c r="E40" s="6">
        <f t="shared" si="3"/>
        <v>8000</v>
      </c>
      <c r="F40" s="6">
        <v>0</v>
      </c>
      <c r="G40" s="6">
        <v>0</v>
      </c>
      <c r="H40" s="6">
        <f t="shared" si="4"/>
        <v>8000</v>
      </c>
      <c r="I40" s="6">
        <f t="shared" si="5"/>
        <v>8000</v>
      </c>
      <c r="J40" s="6" t="s">
        <v>36</v>
      </c>
      <c r="K40" s="36">
        <v>30834525438</v>
      </c>
      <c r="L40" s="8">
        <v>8173914557</v>
      </c>
      <c r="M40" s="5" t="s">
        <v>144</v>
      </c>
    </row>
    <row r="41" spans="1:13" ht="30" customHeight="1">
      <c r="A41" s="4">
        <v>33</v>
      </c>
      <c r="B41" s="5" t="s">
        <v>92</v>
      </c>
      <c r="C41" s="7" t="s">
        <v>93</v>
      </c>
      <c r="D41" s="6">
        <v>7000</v>
      </c>
      <c r="E41" s="6">
        <f t="shared" si="3"/>
        <v>7000</v>
      </c>
      <c r="F41" s="6">
        <v>0</v>
      </c>
      <c r="G41" s="6">
        <v>0</v>
      </c>
      <c r="H41" s="6">
        <f t="shared" si="4"/>
        <v>7000</v>
      </c>
      <c r="I41" s="6">
        <f t="shared" si="5"/>
        <v>7000</v>
      </c>
      <c r="J41" s="6" t="s">
        <v>36</v>
      </c>
      <c r="K41" s="36" t="s">
        <v>177</v>
      </c>
      <c r="L41" s="8">
        <v>9554981298</v>
      </c>
      <c r="M41" s="5" t="s">
        <v>231</v>
      </c>
    </row>
    <row r="42" spans="1:13" ht="30" customHeight="1">
      <c r="A42" s="4">
        <v>34</v>
      </c>
      <c r="B42" s="7" t="s">
        <v>211</v>
      </c>
      <c r="C42" s="7" t="s">
        <v>94</v>
      </c>
      <c r="D42" s="6">
        <v>12000</v>
      </c>
      <c r="E42" s="6">
        <f t="shared" si="3"/>
        <v>12000</v>
      </c>
      <c r="F42" s="6">
        <v>0</v>
      </c>
      <c r="G42" s="6">
        <v>0</v>
      </c>
      <c r="H42" s="6">
        <f t="shared" si="4"/>
        <v>12000</v>
      </c>
      <c r="I42" s="6">
        <f t="shared" si="5"/>
        <v>12000</v>
      </c>
      <c r="J42" s="6" t="s">
        <v>36</v>
      </c>
      <c r="K42" s="36">
        <v>50100643326409</v>
      </c>
      <c r="L42" s="8">
        <v>8738886770</v>
      </c>
      <c r="M42" s="5" t="s">
        <v>31</v>
      </c>
    </row>
    <row r="43" spans="1:13" ht="30" customHeight="1">
      <c r="A43" s="4">
        <v>35</v>
      </c>
      <c r="B43" s="7" t="s">
        <v>212</v>
      </c>
      <c r="C43" s="7" t="s">
        <v>95</v>
      </c>
      <c r="D43" s="6">
        <v>12000</v>
      </c>
      <c r="E43" s="6">
        <f t="shared" si="3"/>
        <v>12000</v>
      </c>
      <c r="F43" s="6">
        <v>0</v>
      </c>
      <c r="G43" s="6">
        <v>0</v>
      </c>
      <c r="H43" s="6">
        <f t="shared" si="4"/>
        <v>12000</v>
      </c>
      <c r="I43" s="6">
        <f t="shared" si="5"/>
        <v>12000</v>
      </c>
      <c r="J43" s="6" t="s">
        <v>36</v>
      </c>
      <c r="K43" s="36">
        <v>50100656534640</v>
      </c>
      <c r="L43" s="8">
        <v>9519190094</v>
      </c>
      <c r="M43" s="26" t="s">
        <v>33</v>
      </c>
    </row>
    <row r="44" spans="1:13" ht="30" customHeight="1">
      <c r="A44" s="4">
        <v>36</v>
      </c>
      <c r="B44" s="7" t="s">
        <v>96</v>
      </c>
      <c r="C44" s="7" t="s">
        <v>97</v>
      </c>
      <c r="D44" s="6">
        <v>10000</v>
      </c>
      <c r="E44" s="6">
        <f t="shared" si="3"/>
        <v>10000</v>
      </c>
      <c r="F44" s="6">
        <v>0</v>
      </c>
      <c r="G44" s="6">
        <v>0</v>
      </c>
      <c r="H44" s="6">
        <f t="shared" si="4"/>
        <v>10000</v>
      </c>
      <c r="I44" s="6">
        <f t="shared" si="5"/>
        <v>10000</v>
      </c>
      <c r="J44" s="6" t="s">
        <v>36</v>
      </c>
      <c r="K44" s="36">
        <v>50100656534841</v>
      </c>
      <c r="L44" s="8">
        <v>7236993477</v>
      </c>
      <c r="M44" s="5" t="s">
        <v>32</v>
      </c>
    </row>
    <row r="45" spans="1:13" ht="30" customHeight="1">
      <c r="A45" s="4">
        <v>37</v>
      </c>
      <c r="B45" s="7" t="s">
        <v>98</v>
      </c>
      <c r="C45" s="7" t="s">
        <v>99</v>
      </c>
      <c r="D45" s="6">
        <v>5000</v>
      </c>
      <c r="E45" s="6">
        <f t="shared" si="3"/>
        <v>5000</v>
      </c>
      <c r="F45" s="6">
        <v>0</v>
      </c>
      <c r="G45" s="6">
        <v>0</v>
      </c>
      <c r="H45" s="6">
        <f t="shared" si="4"/>
        <v>5000</v>
      </c>
      <c r="I45" s="6">
        <f t="shared" si="5"/>
        <v>5000</v>
      </c>
      <c r="J45" s="6" t="s">
        <v>36</v>
      </c>
      <c r="K45" s="36">
        <v>8266010000875</v>
      </c>
      <c r="L45" s="8">
        <v>9129768112</v>
      </c>
      <c r="M45" s="5" t="s">
        <v>38</v>
      </c>
    </row>
    <row r="46" spans="1:13" ht="30" customHeight="1">
      <c r="A46" s="4">
        <v>38</v>
      </c>
      <c r="B46" s="7" t="s">
        <v>100</v>
      </c>
      <c r="C46" s="7" t="s">
        <v>99</v>
      </c>
      <c r="D46" s="6">
        <v>5500</v>
      </c>
      <c r="E46" s="6">
        <f t="shared" si="3"/>
        <v>5500</v>
      </c>
      <c r="F46" s="6">
        <v>0</v>
      </c>
      <c r="G46" s="6">
        <v>0</v>
      </c>
      <c r="H46" s="6">
        <f t="shared" si="4"/>
        <v>5500</v>
      </c>
      <c r="I46" s="6">
        <f t="shared" si="5"/>
        <v>5500</v>
      </c>
      <c r="J46" s="6" t="s">
        <v>36</v>
      </c>
      <c r="K46" s="36">
        <v>414572020000842</v>
      </c>
      <c r="L46" s="8">
        <v>8318452425</v>
      </c>
      <c r="M46" s="5" t="s">
        <v>38</v>
      </c>
    </row>
    <row r="47" spans="1:13" ht="30" customHeight="1">
      <c r="A47" s="4">
        <v>39</v>
      </c>
      <c r="B47" s="7" t="s">
        <v>101</v>
      </c>
      <c r="C47" s="7" t="s">
        <v>99</v>
      </c>
      <c r="D47" s="6">
        <v>5000</v>
      </c>
      <c r="E47" s="6">
        <f t="shared" si="3"/>
        <v>5000</v>
      </c>
      <c r="F47" s="6">
        <v>0</v>
      </c>
      <c r="G47" s="6">
        <v>0</v>
      </c>
      <c r="H47" s="6">
        <f t="shared" si="4"/>
        <v>5000</v>
      </c>
      <c r="I47" s="6">
        <f t="shared" si="5"/>
        <v>5000</v>
      </c>
      <c r="J47" s="6" t="s">
        <v>36</v>
      </c>
      <c r="K47" s="36">
        <v>414572020001440</v>
      </c>
      <c r="L47" s="8">
        <v>8318452425</v>
      </c>
      <c r="M47" s="5" t="s">
        <v>38</v>
      </c>
    </row>
    <row r="48" spans="1:13" ht="30" customHeight="1">
      <c r="A48" s="4">
        <v>40</v>
      </c>
      <c r="B48" s="7" t="s">
        <v>102</v>
      </c>
      <c r="C48" s="7" t="s">
        <v>196</v>
      </c>
      <c r="D48" s="6">
        <v>15000</v>
      </c>
      <c r="E48" s="6">
        <f t="shared" si="3"/>
        <v>15000</v>
      </c>
      <c r="F48" s="6">
        <v>0</v>
      </c>
      <c r="G48" s="6">
        <v>0</v>
      </c>
      <c r="H48" s="6">
        <f t="shared" si="4"/>
        <v>15000</v>
      </c>
      <c r="I48" s="6">
        <f t="shared" si="5"/>
        <v>15000</v>
      </c>
      <c r="J48" s="6" t="s">
        <v>53</v>
      </c>
      <c r="K48" s="36">
        <v>502000718906</v>
      </c>
      <c r="L48" s="8">
        <v>8534937175</v>
      </c>
      <c r="M48" s="5" t="s">
        <v>34</v>
      </c>
    </row>
    <row r="49" spans="1:13" ht="29.45" customHeight="1">
      <c r="A49" s="4">
        <v>41</v>
      </c>
      <c r="B49" s="7" t="s">
        <v>103</v>
      </c>
      <c r="C49" s="7" t="s">
        <v>196</v>
      </c>
      <c r="D49" s="6">
        <v>12000</v>
      </c>
      <c r="E49" s="6">
        <f t="shared" si="3"/>
        <v>12000</v>
      </c>
      <c r="F49" s="6">
        <v>0</v>
      </c>
      <c r="G49" s="6">
        <v>0</v>
      </c>
      <c r="H49" s="6">
        <f t="shared" si="4"/>
        <v>12000</v>
      </c>
      <c r="I49" s="6">
        <f t="shared" si="5"/>
        <v>12000</v>
      </c>
      <c r="J49" s="6" t="s">
        <v>36</v>
      </c>
      <c r="K49" s="36">
        <v>7336000100043000</v>
      </c>
      <c r="L49" s="8">
        <v>6388182648</v>
      </c>
      <c r="M49" s="5" t="s">
        <v>50</v>
      </c>
    </row>
    <row r="50" spans="1:13" ht="29.45" customHeight="1">
      <c r="A50" s="4">
        <v>42</v>
      </c>
      <c r="B50" s="7" t="s">
        <v>213</v>
      </c>
      <c r="C50" s="7" t="s">
        <v>195</v>
      </c>
      <c r="D50" s="6">
        <v>12000</v>
      </c>
      <c r="E50" s="6">
        <f t="shared" si="3"/>
        <v>12000</v>
      </c>
      <c r="F50" s="6">
        <v>0</v>
      </c>
      <c r="G50" s="6">
        <v>0</v>
      </c>
      <c r="H50" s="6">
        <f t="shared" si="4"/>
        <v>12000</v>
      </c>
      <c r="I50" s="6">
        <f t="shared" si="5"/>
        <v>12000</v>
      </c>
      <c r="J50" s="6" t="s">
        <v>36</v>
      </c>
      <c r="K50" s="36">
        <v>33590063281</v>
      </c>
      <c r="L50" s="8">
        <v>9598675645</v>
      </c>
      <c r="M50" s="5" t="s">
        <v>51</v>
      </c>
    </row>
    <row r="51" spans="1:13" ht="29.45" customHeight="1">
      <c r="A51" s="4">
        <v>43</v>
      </c>
      <c r="B51" s="7" t="s">
        <v>104</v>
      </c>
      <c r="C51" s="7" t="s">
        <v>195</v>
      </c>
      <c r="D51" s="6">
        <v>10000</v>
      </c>
      <c r="E51" s="6">
        <f t="shared" si="3"/>
        <v>10000</v>
      </c>
      <c r="F51" s="6">
        <v>0</v>
      </c>
      <c r="G51" s="6">
        <v>0</v>
      </c>
      <c r="H51" s="6">
        <f t="shared" si="4"/>
        <v>10000</v>
      </c>
      <c r="I51" s="6">
        <f t="shared" si="5"/>
        <v>10000</v>
      </c>
      <c r="J51" s="6" t="s">
        <v>36</v>
      </c>
      <c r="K51" s="36" t="s">
        <v>178</v>
      </c>
      <c r="L51" s="8">
        <v>9565355635</v>
      </c>
      <c r="M51" s="5" t="s">
        <v>230</v>
      </c>
    </row>
    <row r="52" spans="1:13" ht="30" customHeight="1">
      <c r="A52" s="4">
        <v>44</v>
      </c>
      <c r="B52" s="7" t="s">
        <v>214</v>
      </c>
      <c r="C52" s="7" t="s">
        <v>105</v>
      </c>
      <c r="D52" s="6">
        <v>6000</v>
      </c>
      <c r="E52" s="6">
        <f t="shared" si="3"/>
        <v>6000</v>
      </c>
      <c r="F52" s="6">
        <v>0</v>
      </c>
      <c r="G52" s="6">
        <v>0</v>
      </c>
      <c r="H52" s="6">
        <f t="shared" si="4"/>
        <v>6000</v>
      </c>
      <c r="I52" s="6">
        <f t="shared" si="5"/>
        <v>6000</v>
      </c>
      <c r="J52" s="6" t="s">
        <v>36</v>
      </c>
      <c r="K52" s="36" t="s">
        <v>179</v>
      </c>
      <c r="L52" s="8" t="s">
        <v>166</v>
      </c>
      <c r="M52" s="5" t="s">
        <v>145</v>
      </c>
    </row>
    <row r="53" spans="1:13" ht="30" customHeight="1">
      <c r="A53" s="4">
        <v>45</v>
      </c>
      <c r="B53" s="7" t="s">
        <v>215</v>
      </c>
      <c r="C53" s="7" t="s">
        <v>106</v>
      </c>
      <c r="D53" s="6">
        <v>8000</v>
      </c>
      <c r="E53" s="6">
        <f t="shared" si="3"/>
        <v>8000</v>
      </c>
      <c r="F53" s="6">
        <v>0</v>
      </c>
      <c r="G53" s="6">
        <v>0</v>
      </c>
      <c r="H53" s="6">
        <f t="shared" si="4"/>
        <v>8000</v>
      </c>
      <c r="I53" s="6">
        <f t="shared" si="5"/>
        <v>8000</v>
      </c>
      <c r="J53" s="6" t="s">
        <v>36</v>
      </c>
      <c r="K53" s="36">
        <v>50374666427</v>
      </c>
      <c r="L53" s="8" t="s">
        <v>167</v>
      </c>
      <c r="M53" s="5" t="s">
        <v>146</v>
      </c>
    </row>
    <row r="54" spans="1:13" ht="30" customHeight="1">
      <c r="A54" s="4">
        <v>46</v>
      </c>
      <c r="B54" s="7" t="s">
        <v>250</v>
      </c>
      <c r="C54" s="7" t="s">
        <v>277</v>
      </c>
      <c r="D54" s="41">
        <v>5000</v>
      </c>
      <c r="E54" s="41">
        <f t="shared" ref="E54" si="13">D54</f>
        <v>5000</v>
      </c>
      <c r="F54" s="42">
        <v>0</v>
      </c>
      <c r="G54" s="42">
        <v>0</v>
      </c>
      <c r="H54" s="41">
        <f t="shared" ref="H54" si="14">D54</f>
        <v>5000</v>
      </c>
      <c r="I54" s="41">
        <f t="shared" ref="I54" si="15">D54</f>
        <v>5000</v>
      </c>
      <c r="J54" s="43" t="s">
        <v>251</v>
      </c>
      <c r="K54" s="44">
        <v>303302120018178</v>
      </c>
      <c r="L54" s="46">
        <v>8299570064</v>
      </c>
      <c r="M54" s="5" t="s">
        <v>38</v>
      </c>
    </row>
    <row r="55" spans="1:13" ht="30" customHeight="1">
      <c r="A55" s="4">
        <v>47</v>
      </c>
      <c r="B55" s="7" t="s">
        <v>239</v>
      </c>
      <c r="C55" s="7" t="s">
        <v>107</v>
      </c>
      <c r="D55" s="6">
        <v>7000</v>
      </c>
      <c r="E55" s="6">
        <f t="shared" si="3"/>
        <v>7000</v>
      </c>
      <c r="F55" s="6">
        <v>0</v>
      </c>
      <c r="G55" s="6">
        <v>0</v>
      </c>
      <c r="H55" s="6">
        <f t="shared" si="4"/>
        <v>7000</v>
      </c>
      <c r="I55" s="6">
        <f t="shared" si="5"/>
        <v>7000</v>
      </c>
      <c r="J55" s="6" t="s">
        <v>36</v>
      </c>
      <c r="K55" s="36">
        <v>417002010869166</v>
      </c>
      <c r="L55" s="48">
        <v>9794265783</v>
      </c>
      <c r="M55" s="5" t="s">
        <v>240</v>
      </c>
    </row>
    <row r="56" spans="1:13" ht="30" customHeight="1">
      <c r="A56" s="4">
        <v>48</v>
      </c>
      <c r="B56" s="7" t="s">
        <v>274</v>
      </c>
      <c r="C56" s="7" t="s">
        <v>108</v>
      </c>
      <c r="D56" s="6" t="s">
        <v>275</v>
      </c>
      <c r="E56" s="6" t="str">
        <f t="shared" si="3"/>
        <v>As per Visit</v>
      </c>
      <c r="F56" s="6">
        <v>0</v>
      </c>
      <c r="G56" s="6">
        <v>0</v>
      </c>
      <c r="H56" s="6" t="str">
        <f t="shared" si="4"/>
        <v>As per Visit</v>
      </c>
      <c r="I56" s="6" t="str">
        <f t="shared" si="5"/>
        <v>As per Visit</v>
      </c>
      <c r="J56" s="6" t="s">
        <v>36</v>
      </c>
      <c r="K56" s="38">
        <v>30620988445</v>
      </c>
      <c r="L56" s="48">
        <v>8423296977</v>
      </c>
      <c r="M56" s="5" t="s">
        <v>276</v>
      </c>
    </row>
    <row r="57" spans="1:13" ht="30" customHeight="1">
      <c r="A57" s="4">
        <v>49</v>
      </c>
      <c r="B57" s="7" t="s">
        <v>197</v>
      </c>
      <c r="C57" s="7" t="s">
        <v>198</v>
      </c>
      <c r="D57" s="6">
        <v>20000</v>
      </c>
      <c r="E57" s="6">
        <f t="shared" si="3"/>
        <v>20000</v>
      </c>
      <c r="F57" s="6">
        <v>0</v>
      </c>
      <c r="G57" s="6">
        <v>0</v>
      </c>
      <c r="H57" s="6">
        <f t="shared" si="4"/>
        <v>20000</v>
      </c>
      <c r="I57" s="6">
        <f t="shared" si="5"/>
        <v>20000</v>
      </c>
      <c r="J57" s="33" t="s">
        <v>53</v>
      </c>
      <c r="K57" s="34" t="s">
        <v>245</v>
      </c>
      <c r="L57" s="47" t="s">
        <v>246</v>
      </c>
      <c r="M57" s="5" t="s">
        <v>247</v>
      </c>
    </row>
    <row r="58" spans="1:13" ht="30" customHeight="1">
      <c r="A58" s="4">
        <v>50</v>
      </c>
      <c r="B58" s="7" t="s">
        <v>110</v>
      </c>
      <c r="C58" s="7" t="s">
        <v>198</v>
      </c>
      <c r="D58" s="6">
        <v>20000</v>
      </c>
      <c r="E58" s="6">
        <f t="shared" si="3"/>
        <v>20000</v>
      </c>
      <c r="F58" s="6">
        <v>0</v>
      </c>
      <c r="G58" s="6">
        <v>0</v>
      </c>
      <c r="H58" s="6">
        <f t="shared" si="4"/>
        <v>20000</v>
      </c>
      <c r="I58" s="6">
        <f t="shared" si="5"/>
        <v>20000</v>
      </c>
      <c r="J58" s="6" t="s">
        <v>36</v>
      </c>
      <c r="K58" s="36">
        <v>20239804762</v>
      </c>
      <c r="L58" s="8">
        <v>8962409747</v>
      </c>
      <c r="M58" s="5" t="s">
        <v>148</v>
      </c>
    </row>
    <row r="59" spans="1:13" ht="30" customHeight="1">
      <c r="A59" s="4">
        <v>51</v>
      </c>
      <c r="B59" s="7" t="s">
        <v>111</v>
      </c>
      <c r="C59" s="7" t="s">
        <v>121</v>
      </c>
      <c r="D59" s="6">
        <v>8000</v>
      </c>
      <c r="E59" s="6">
        <f t="shared" si="3"/>
        <v>8000</v>
      </c>
      <c r="F59" s="6">
        <v>0</v>
      </c>
      <c r="G59" s="6">
        <v>0</v>
      </c>
      <c r="H59" s="6">
        <f t="shared" si="4"/>
        <v>8000</v>
      </c>
      <c r="I59" s="6">
        <f t="shared" si="5"/>
        <v>8000</v>
      </c>
      <c r="J59" s="6" t="s">
        <v>36</v>
      </c>
      <c r="K59" s="36" t="s">
        <v>181</v>
      </c>
      <c r="L59" s="8" t="s">
        <v>169</v>
      </c>
      <c r="M59" s="5" t="s">
        <v>149</v>
      </c>
    </row>
    <row r="60" spans="1:13" ht="30" customHeight="1">
      <c r="A60" s="4">
        <v>52</v>
      </c>
      <c r="B60" s="7" t="s">
        <v>112</v>
      </c>
      <c r="C60" s="7" t="s">
        <v>121</v>
      </c>
      <c r="D60" s="6">
        <v>8000</v>
      </c>
      <c r="E60" s="6">
        <f t="shared" si="3"/>
        <v>8000</v>
      </c>
      <c r="F60" s="6">
        <v>0</v>
      </c>
      <c r="G60" s="6">
        <v>0</v>
      </c>
      <c r="H60" s="6">
        <f t="shared" si="4"/>
        <v>8000</v>
      </c>
      <c r="I60" s="6">
        <f t="shared" si="5"/>
        <v>8000</v>
      </c>
      <c r="J60" s="6" t="s">
        <v>36</v>
      </c>
      <c r="K60" s="36" t="s">
        <v>182</v>
      </c>
      <c r="L60" s="8" t="s">
        <v>170</v>
      </c>
      <c r="M60" s="5" t="s">
        <v>150</v>
      </c>
    </row>
    <row r="61" spans="1:13" ht="30" customHeight="1">
      <c r="A61" s="4">
        <v>53</v>
      </c>
      <c r="B61" s="7" t="s">
        <v>113</v>
      </c>
      <c r="C61" s="7" t="s">
        <v>121</v>
      </c>
      <c r="D61" s="6">
        <v>12000</v>
      </c>
      <c r="E61" s="6">
        <f t="shared" si="3"/>
        <v>12000</v>
      </c>
      <c r="F61" s="6">
        <v>0</v>
      </c>
      <c r="G61" s="6">
        <v>0</v>
      </c>
      <c r="H61" s="6">
        <f t="shared" si="4"/>
        <v>12000</v>
      </c>
      <c r="I61" s="6">
        <f t="shared" si="5"/>
        <v>12000</v>
      </c>
      <c r="J61" s="6" t="s">
        <v>36</v>
      </c>
      <c r="K61" s="36">
        <v>50100643070214</v>
      </c>
      <c r="L61" s="8">
        <v>7318494761</v>
      </c>
      <c r="M61" s="5" t="s">
        <v>30</v>
      </c>
    </row>
    <row r="62" spans="1:13" ht="30" customHeight="1">
      <c r="A62" s="4">
        <v>54</v>
      </c>
      <c r="B62" s="7" t="s">
        <v>216</v>
      </c>
      <c r="C62" s="7" t="s">
        <v>121</v>
      </c>
      <c r="D62" s="6">
        <v>8000</v>
      </c>
      <c r="E62" s="6">
        <f t="shared" si="3"/>
        <v>8000</v>
      </c>
      <c r="F62" s="6">
        <v>0</v>
      </c>
      <c r="G62" s="6">
        <v>0</v>
      </c>
      <c r="H62" s="6">
        <f t="shared" si="4"/>
        <v>8000</v>
      </c>
      <c r="I62" s="6">
        <f t="shared" si="5"/>
        <v>8000</v>
      </c>
      <c r="J62" s="6" t="s">
        <v>36</v>
      </c>
      <c r="K62" s="38">
        <v>430402010815957</v>
      </c>
      <c r="L62" s="8">
        <v>7266891038</v>
      </c>
      <c r="M62" s="5" t="s">
        <v>38</v>
      </c>
    </row>
    <row r="63" spans="1:13" ht="30" customHeight="1">
      <c r="A63" s="4">
        <v>55</v>
      </c>
      <c r="B63" s="7" t="s">
        <v>114</v>
      </c>
      <c r="C63" s="7" t="s">
        <v>199</v>
      </c>
      <c r="D63" s="6">
        <v>5000</v>
      </c>
      <c r="E63" s="6">
        <f t="shared" si="3"/>
        <v>5000</v>
      </c>
      <c r="F63" s="6">
        <v>0</v>
      </c>
      <c r="G63" s="6">
        <v>0</v>
      </c>
      <c r="H63" s="6">
        <f t="shared" si="4"/>
        <v>5000</v>
      </c>
      <c r="I63" s="6">
        <f t="shared" si="5"/>
        <v>5000</v>
      </c>
      <c r="J63" s="6" t="s">
        <v>36</v>
      </c>
      <c r="K63" s="37">
        <v>414572080001715</v>
      </c>
      <c r="L63" s="28">
        <v>9565025485</v>
      </c>
      <c r="M63" s="5" t="s">
        <v>38</v>
      </c>
    </row>
    <row r="64" spans="1:13" ht="30" customHeight="1">
      <c r="A64" s="4">
        <v>56</v>
      </c>
      <c r="B64" s="7" t="s">
        <v>115</v>
      </c>
      <c r="C64" s="7" t="s">
        <v>199</v>
      </c>
      <c r="D64" s="6">
        <v>5500</v>
      </c>
      <c r="E64" s="6">
        <f t="shared" si="3"/>
        <v>5500</v>
      </c>
      <c r="F64" s="6">
        <v>0</v>
      </c>
      <c r="G64" s="6">
        <v>0</v>
      </c>
      <c r="H64" s="6">
        <f t="shared" si="4"/>
        <v>5500</v>
      </c>
      <c r="I64" s="6">
        <f t="shared" si="5"/>
        <v>5500</v>
      </c>
      <c r="J64" s="6" t="s">
        <v>36</v>
      </c>
      <c r="K64" s="36">
        <v>30915892938</v>
      </c>
      <c r="L64" s="8">
        <v>9651102032</v>
      </c>
      <c r="M64" s="5" t="s">
        <v>38</v>
      </c>
    </row>
    <row r="65" spans="1:13" ht="30" customHeight="1">
      <c r="A65" s="4">
        <v>57</v>
      </c>
      <c r="B65" s="7" t="s">
        <v>116</v>
      </c>
      <c r="C65" s="7" t="s">
        <v>200</v>
      </c>
      <c r="D65" s="6">
        <v>25000</v>
      </c>
      <c r="E65" s="6">
        <f t="shared" si="3"/>
        <v>25000</v>
      </c>
      <c r="F65" s="6">
        <v>0</v>
      </c>
      <c r="G65" s="6">
        <v>0</v>
      </c>
      <c r="H65" s="6">
        <f t="shared" si="4"/>
        <v>25000</v>
      </c>
      <c r="I65" s="6">
        <f t="shared" si="5"/>
        <v>25000</v>
      </c>
      <c r="J65" s="6" t="s">
        <v>36</v>
      </c>
      <c r="K65" s="36" t="s">
        <v>183</v>
      </c>
      <c r="L65" s="8" t="s">
        <v>171</v>
      </c>
      <c r="M65" s="5" t="s">
        <v>151</v>
      </c>
    </row>
    <row r="66" spans="1:13" ht="30" customHeight="1">
      <c r="A66" s="4">
        <v>58</v>
      </c>
      <c r="B66" s="7" t="s">
        <v>117</v>
      </c>
      <c r="C66" s="7" t="s">
        <v>200</v>
      </c>
      <c r="D66" s="6">
        <v>20000</v>
      </c>
      <c r="E66" s="6">
        <f t="shared" si="3"/>
        <v>20000</v>
      </c>
      <c r="F66" s="6">
        <v>0</v>
      </c>
      <c r="G66" s="6">
        <v>0</v>
      </c>
      <c r="H66" s="6">
        <f t="shared" si="4"/>
        <v>20000</v>
      </c>
      <c r="I66" s="6">
        <f t="shared" si="5"/>
        <v>20000</v>
      </c>
      <c r="J66" s="6" t="s">
        <v>36</v>
      </c>
      <c r="K66" s="36">
        <v>4688001500057230</v>
      </c>
      <c r="L66" s="8">
        <v>8318293036</v>
      </c>
      <c r="M66" s="5" t="s">
        <v>17</v>
      </c>
    </row>
    <row r="67" spans="1:13" ht="30" customHeight="1">
      <c r="A67" s="4">
        <v>59</v>
      </c>
      <c r="B67" s="7" t="s">
        <v>217</v>
      </c>
      <c r="C67" s="7" t="s">
        <v>121</v>
      </c>
      <c r="D67" s="6">
        <v>10000</v>
      </c>
      <c r="E67" s="6">
        <f t="shared" si="3"/>
        <v>10000</v>
      </c>
      <c r="F67" s="6">
        <v>0</v>
      </c>
      <c r="G67" s="6">
        <v>0</v>
      </c>
      <c r="H67" s="6">
        <f t="shared" si="4"/>
        <v>10000</v>
      </c>
      <c r="I67" s="6">
        <f t="shared" si="5"/>
        <v>10000</v>
      </c>
      <c r="J67" s="6" t="s">
        <v>36</v>
      </c>
      <c r="K67" s="36" t="s">
        <v>184</v>
      </c>
      <c r="L67" s="8" t="s">
        <v>172</v>
      </c>
      <c r="M67" s="5" t="s">
        <v>152</v>
      </c>
    </row>
    <row r="68" spans="1:13" ht="30" customHeight="1">
      <c r="A68" s="4">
        <v>60</v>
      </c>
      <c r="B68" s="7" t="s">
        <v>218</v>
      </c>
      <c r="C68" s="7" t="s">
        <v>121</v>
      </c>
      <c r="D68" s="6">
        <v>10000</v>
      </c>
      <c r="E68" s="6">
        <f t="shared" si="3"/>
        <v>10000</v>
      </c>
      <c r="F68" s="6">
        <v>0</v>
      </c>
      <c r="G68" s="6">
        <v>0</v>
      </c>
      <c r="H68" s="6">
        <f t="shared" si="4"/>
        <v>10000</v>
      </c>
      <c r="I68" s="6">
        <f t="shared" si="5"/>
        <v>10000</v>
      </c>
      <c r="J68" s="6" t="s">
        <v>36</v>
      </c>
      <c r="K68" s="36" t="s">
        <v>185</v>
      </c>
      <c r="L68" s="8">
        <v>6390827087</v>
      </c>
      <c r="M68" s="31" t="s">
        <v>38</v>
      </c>
    </row>
    <row r="69" spans="1:13" ht="30" customHeight="1">
      <c r="A69" s="4">
        <v>61</v>
      </c>
      <c r="B69" s="7" t="s">
        <v>219</v>
      </c>
      <c r="C69" s="7" t="s">
        <v>121</v>
      </c>
      <c r="D69" s="6">
        <v>8000</v>
      </c>
      <c r="E69" s="6">
        <f t="shared" si="3"/>
        <v>8000</v>
      </c>
      <c r="F69" s="6">
        <v>0</v>
      </c>
      <c r="G69" s="6">
        <v>0</v>
      </c>
      <c r="H69" s="6">
        <f t="shared" si="4"/>
        <v>8000</v>
      </c>
      <c r="I69" s="6">
        <f t="shared" si="5"/>
        <v>8000</v>
      </c>
      <c r="J69" s="6" t="s">
        <v>36</v>
      </c>
      <c r="K69" s="36" t="s">
        <v>186</v>
      </c>
      <c r="L69" s="8" t="s">
        <v>173</v>
      </c>
      <c r="M69" s="5" t="s">
        <v>153</v>
      </c>
    </row>
    <row r="70" spans="1:13" ht="30" customHeight="1">
      <c r="A70" s="4">
        <v>62</v>
      </c>
      <c r="B70" s="7" t="s">
        <v>220</v>
      </c>
      <c r="C70" s="7" t="s">
        <v>199</v>
      </c>
      <c r="D70" s="6">
        <v>5500</v>
      </c>
      <c r="E70" s="6">
        <f t="shared" si="3"/>
        <v>5500</v>
      </c>
      <c r="F70" s="6">
        <v>0</v>
      </c>
      <c r="G70" s="6">
        <v>0</v>
      </c>
      <c r="H70" s="6">
        <f t="shared" si="4"/>
        <v>5500</v>
      </c>
      <c r="I70" s="6">
        <f t="shared" si="5"/>
        <v>5500</v>
      </c>
      <c r="J70" s="6" t="s">
        <v>36</v>
      </c>
      <c r="K70" s="36">
        <v>414572080805224</v>
      </c>
      <c r="L70" s="8">
        <v>8655191585</v>
      </c>
      <c r="M70" s="5" t="s">
        <v>38</v>
      </c>
    </row>
    <row r="71" spans="1:13" ht="30" customHeight="1">
      <c r="A71" s="4">
        <v>63</v>
      </c>
      <c r="B71" s="7" t="s">
        <v>118</v>
      </c>
      <c r="C71" s="7" t="s">
        <v>199</v>
      </c>
      <c r="D71" s="6">
        <v>5000</v>
      </c>
      <c r="E71" s="6">
        <f t="shared" si="3"/>
        <v>5000</v>
      </c>
      <c r="F71" s="6">
        <v>0</v>
      </c>
      <c r="G71" s="6">
        <v>0</v>
      </c>
      <c r="H71" s="6">
        <f t="shared" si="4"/>
        <v>5000</v>
      </c>
      <c r="I71" s="6">
        <f t="shared" si="5"/>
        <v>5000</v>
      </c>
      <c r="J71" s="6" t="s">
        <v>36</v>
      </c>
      <c r="K71" s="36">
        <v>50100656535080</v>
      </c>
      <c r="L71" s="8">
        <v>9565414725</v>
      </c>
      <c r="M71" s="5" t="s">
        <v>38</v>
      </c>
    </row>
    <row r="72" spans="1:13" ht="73.900000000000006" customHeight="1">
      <c r="A72" s="4">
        <v>64</v>
      </c>
      <c r="B72" s="7" t="s">
        <v>119</v>
      </c>
      <c r="C72" s="7" t="s">
        <v>120</v>
      </c>
      <c r="D72" s="6">
        <v>32000</v>
      </c>
      <c r="E72" s="6">
        <f t="shared" si="3"/>
        <v>32000</v>
      </c>
      <c r="F72" s="6">
        <v>0</v>
      </c>
      <c r="G72" s="6">
        <v>0</v>
      </c>
      <c r="H72" s="6">
        <f t="shared" si="4"/>
        <v>32000</v>
      </c>
      <c r="I72" s="6">
        <f t="shared" si="5"/>
        <v>32000</v>
      </c>
      <c r="J72" s="6" t="s">
        <v>36</v>
      </c>
      <c r="K72" s="36">
        <v>356002010030430</v>
      </c>
      <c r="L72" s="8">
        <v>7676868172</v>
      </c>
      <c r="M72" s="5" t="s">
        <v>21</v>
      </c>
    </row>
    <row r="73" spans="1:13" ht="29.45" customHeight="1">
      <c r="A73" s="4">
        <v>65</v>
      </c>
      <c r="B73" s="7" t="s">
        <v>248</v>
      </c>
      <c r="C73" s="7" t="s">
        <v>121</v>
      </c>
      <c r="D73" s="6">
        <v>8000</v>
      </c>
      <c r="E73" s="6">
        <f t="shared" si="3"/>
        <v>8000</v>
      </c>
      <c r="F73" s="6">
        <v>0</v>
      </c>
      <c r="G73" s="6">
        <v>0</v>
      </c>
      <c r="H73" s="6">
        <f t="shared" si="4"/>
        <v>8000</v>
      </c>
      <c r="I73" s="6">
        <f t="shared" si="5"/>
        <v>8000</v>
      </c>
      <c r="J73" s="6" t="s">
        <v>36</v>
      </c>
      <c r="K73" s="36">
        <v>6347101002472</v>
      </c>
      <c r="L73" s="8">
        <v>8114230573</v>
      </c>
      <c r="M73" s="5" t="s">
        <v>249</v>
      </c>
    </row>
    <row r="74" spans="1:13" ht="29.45" customHeight="1">
      <c r="A74" s="4">
        <v>66</v>
      </c>
      <c r="B74" s="7" t="s">
        <v>122</v>
      </c>
      <c r="C74" s="7" t="s">
        <v>234</v>
      </c>
      <c r="D74" s="6">
        <v>8000</v>
      </c>
      <c r="E74" s="6">
        <f t="shared" si="3"/>
        <v>8000</v>
      </c>
      <c r="F74" s="6">
        <v>0</v>
      </c>
      <c r="G74" s="6">
        <v>0</v>
      </c>
      <c r="H74" s="6">
        <f t="shared" si="4"/>
        <v>8000</v>
      </c>
      <c r="I74" s="6">
        <f t="shared" si="5"/>
        <v>8000</v>
      </c>
      <c r="J74" s="6" t="s">
        <v>36</v>
      </c>
      <c r="K74" s="36">
        <v>50100529714176</v>
      </c>
      <c r="L74" s="8">
        <v>8318495135</v>
      </c>
      <c r="M74" s="5" t="s">
        <v>27</v>
      </c>
    </row>
    <row r="75" spans="1:13" ht="30" customHeight="1">
      <c r="A75" s="4">
        <v>67</v>
      </c>
      <c r="B75" s="7" t="s">
        <v>123</v>
      </c>
      <c r="C75" s="7" t="s">
        <v>234</v>
      </c>
      <c r="D75" s="6">
        <v>13000</v>
      </c>
      <c r="E75" s="6">
        <f t="shared" si="3"/>
        <v>13000</v>
      </c>
      <c r="F75" s="6">
        <v>0</v>
      </c>
      <c r="G75" s="6">
        <v>0</v>
      </c>
      <c r="H75" s="6">
        <f t="shared" si="4"/>
        <v>13000</v>
      </c>
      <c r="I75" s="6">
        <f t="shared" si="5"/>
        <v>13000</v>
      </c>
      <c r="J75" s="6" t="s">
        <v>54</v>
      </c>
      <c r="K75" s="36">
        <v>50100620382907</v>
      </c>
      <c r="L75" s="8">
        <v>7390848759</v>
      </c>
      <c r="M75" s="5" t="s">
        <v>154</v>
      </c>
    </row>
    <row r="76" spans="1:13" ht="30" customHeight="1">
      <c r="A76" s="4">
        <v>68</v>
      </c>
      <c r="B76" s="7" t="s">
        <v>221</v>
      </c>
      <c r="C76" s="7" t="s">
        <v>235</v>
      </c>
      <c r="D76" s="6">
        <v>8000</v>
      </c>
      <c r="E76" s="6">
        <f t="shared" si="3"/>
        <v>8000</v>
      </c>
      <c r="F76" s="6">
        <v>0</v>
      </c>
      <c r="G76" s="6">
        <v>0</v>
      </c>
      <c r="H76" s="6">
        <f t="shared" si="4"/>
        <v>8000</v>
      </c>
      <c r="I76" s="6">
        <f t="shared" si="5"/>
        <v>8000</v>
      </c>
      <c r="J76" s="25" t="s">
        <v>36</v>
      </c>
      <c r="K76" s="36" t="s">
        <v>187</v>
      </c>
      <c r="L76" s="28">
        <v>8303095063</v>
      </c>
      <c r="M76" s="31" t="s">
        <v>155</v>
      </c>
    </row>
    <row r="77" spans="1:13" ht="30" customHeight="1">
      <c r="A77" s="4">
        <v>69</v>
      </c>
      <c r="B77" s="7" t="s">
        <v>222</v>
      </c>
      <c r="C77" s="7" t="s">
        <v>235</v>
      </c>
      <c r="D77" s="6">
        <v>8000</v>
      </c>
      <c r="E77" s="6">
        <f t="shared" si="3"/>
        <v>8000</v>
      </c>
      <c r="F77" s="6">
        <v>0</v>
      </c>
      <c r="G77" s="6">
        <v>0</v>
      </c>
      <c r="H77" s="6">
        <f t="shared" si="4"/>
        <v>8000</v>
      </c>
      <c r="I77" s="6">
        <f t="shared" si="5"/>
        <v>8000</v>
      </c>
      <c r="J77" s="6" t="s">
        <v>36</v>
      </c>
      <c r="K77" s="36" t="s">
        <v>188</v>
      </c>
      <c r="L77" s="8">
        <v>8957623894</v>
      </c>
      <c r="M77" s="5" t="s">
        <v>156</v>
      </c>
    </row>
    <row r="78" spans="1:13" ht="30" customHeight="1">
      <c r="A78" s="4">
        <v>70</v>
      </c>
      <c r="B78" s="7" t="s">
        <v>237</v>
      </c>
      <c r="C78" s="7" t="s">
        <v>236</v>
      </c>
      <c r="D78" s="6">
        <v>6000</v>
      </c>
      <c r="E78" s="6">
        <f t="shared" si="3"/>
        <v>6000</v>
      </c>
      <c r="F78" s="6">
        <v>0</v>
      </c>
      <c r="G78" s="6">
        <v>0</v>
      </c>
      <c r="H78" s="6">
        <f t="shared" si="4"/>
        <v>6000</v>
      </c>
      <c r="I78" s="6">
        <f t="shared" si="5"/>
        <v>6000</v>
      </c>
      <c r="J78" s="6" t="s">
        <v>36</v>
      </c>
      <c r="K78" s="36">
        <v>60890100001232</v>
      </c>
      <c r="L78" s="8">
        <v>7525890315</v>
      </c>
      <c r="M78" s="5" t="s">
        <v>238</v>
      </c>
    </row>
    <row r="79" spans="1:13" ht="30" customHeight="1">
      <c r="A79" s="4">
        <v>71</v>
      </c>
      <c r="B79" s="7" t="s">
        <v>243</v>
      </c>
      <c r="C79" s="7" t="s">
        <v>236</v>
      </c>
      <c r="D79" s="6">
        <v>6000</v>
      </c>
      <c r="E79" s="6">
        <f t="shared" si="3"/>
        <v>6000</v>
      </c>
      <c r="F79" s="6">
        <v>0</v>
      </c>
      <c r="G79" s="6">
        <v>0</v>
      </c>
      <c r="H79" s="6">
        <f t="shared" si="4"/>
        <v>6000</v>
      </c>
      <c r="I79" s="6">
        <f t="shared" si="5"/>
        <v>6000</v>
      </c>
      <c r="J79" s="6" t="s">
        <v>36</v>
      </c>
      <c r="K79" s="36">
        <v>370202120020332</v>
      </c>
      <c r="L79" s="8">
        <v>7318488140</v>
      </c>
      <c r="M79" s="5" t="s">
        <v>244</v>
      </c>
    </row>
    <row r="80" spans="1:13" ht="30" customHeight="1">
      <c r="A80" s="4">
        <v>72</v>
      </c>
      <c r="B80" s="7" t="s">
        <v>223</v>
      </c>
      <c r="C80" s="7" t="s">
        <v>121</v>
      </c>
      <c r="D80" s="6">
        <v>10000</v>
      </c>
      <c r="E80" s="6">
        <f t="shared" si="3"/>
        <v>10000</v>
      </c>
      <c r="F80" s="6">
        <v>0</v>
      </c>
      <c r="G80" s="6">
        <v>0</v>
      </c>
      <c r="H80" s="6">
        <f t="shared" si="4"/>
        <v>10000</v>
      </c>
      <c r="I80" s="6">
        <f t="shared" si="5"/>
        <v>10000</v>
      </c>
      <c r="J80" s="6" t="s">
        <v>36</v>
      </c>
      <c r="K80" s="36" t="s">
        <v>189</v>
      </c>
      <c r="L80" s="8">
        <v>7754875828</v>
      </c>
      <c r="M80" s="5" t="s">
        <v>38</v>
      </c>
    </row>
    <row r="81" spans="1:13" ht="30" customHeight="1">
      <c r="A81" s="4">
        <v>73</v>
      </c>
      <c r="B81" s="7" t="s">
        <v>224</v>
      </c>
      <c r="C81" s="7" t="s">
        <v>124</v>
      </c>
      <c r="D81" s="6">
        <v>8200</v>
      </c>
      <c r="E81" s="6">
        <f t="shared" si="3"/>
        <v>8200</v>
      </c>
      <c r="F81" s="6">
        <v>0</v>
      </c>
      <c r="G81" s="6">
        <v>0</v>
      </c>
      <c r="H81" s="6">
        <f t="shared" si="4"/>
        <v>8200</v>
      </c>
      <c r="I81" s="6">
        <f t="shared" si="5"/>
        <v>8200</v>
      </c>
      <c r="J81" s="6" t="s">
        <v>36</v>
      </c>
      <c r="K81" s="36">
        <v>32048159208</v>
      </c>
      <c r="L81" s="8">
        <v>9628172333</v>
      </c>
      <c r="M81" s="7" t="s">
        <v>157</v>
      </c>
    </row>
    <row r="82" spans="1:13" ht="30" customHeight="1">
      <c r="A82" s="4">
        <v>74</v>
      </c>
      <c r="B82" s="7" t="s">
        <v>225</v>
      </c>
      <c r="C82" s="7" t="s">
        <v>124</v>
      </c>
      <c r="D82" s="6">
        <v>6000</v>
      </c>
      <c r="E82" s="6">
        <f t="shared" si="3"/>
        <v>6000</v>
      </c>
      <c r="F82" s="6">
        <v>0</v>
      </c>
      <c r="G82" s="6">
        <v>0</v>
      </c>
      <c r="H82" s="6">
        <f t="shared" si="4"/>
        <v>6000</v>
      </c>
      <c r="I82" s="6">
        <f t="shared" si="5"/>
        <v>6000</v>
      </c>
      <c r="J82" s="6" t="s">
        <v>36</v>
      </c>
      <c r="K82" s="36">
        <v>43285105623</v>
      </c>
      <c r="L82" s="8">
        <v>6306147352</v>
      </c>
      <c r="M82" s="7" t="s">
        <v>232</v>
      </c>
    </row>
    <row r="83" spans="1:13" ht="30" customHeight="1">
      <c r="A83" s="4">
        <v>75</v>
      </c>
      <c r="B83" s="7" t="s">
        <v>226</v>
      </c>
      <c r="C83" s="7" t="s">
        <v>125</v>
      </c>
      <c r="D83" s="6">
        <v>7000</v>
      </c>
      <c r="E83" s="6">
        <f t="shared" si="3"/>
        <v>7000</v>
      </c>
      <c r="F83" s="6">
        <v>0</v>
      </c>
      <c r="G83" s="6">
        <v>0</v>
      </c>
      <c r="H83" s="6">
        <f t="shared" si="4"/>
        <v>7000</v>
      </c>
      <c r="I83" s="6">
        <f t="shared" si="5"/>
        <v>7000</v>
      </c>
      <c r="J83" s="6" t="s">
        <v>36</v>
      </c>
      <c r="K83" s="36" t="s">
        <v>190</v>
      </c>
      <c r="L83" s="8">
        <v>6392862224</v>
      </c>
      <c r="M83" s="7" t="s">
        <v>158</v>
      </c>
    </row>
    <row r="84" spans="1:13" ht="30" customHeight="1">
      <c r="A84" s="4">
        <v>76</v>
      </c>
      <c r="B84" s="7" t="s">
        <v>126</v>
      </c>
      <c r="C84" s="7" t="s">
        <v>121</v>
      </c>
      <c r="D84" s="6">
        <v>10000</v>
      </c>
      <c r="E84" s="6">
        <f t="shared" si="3"/>
        <v>10000</v>
      </c>
      <c r="F84" s="6">
        <v>0</v>
      </c>
      <c r="G84" s="6">
        <v>0</v>
      </c>
      <c r="H84" s="6">
        <f t="shared" si="4"/>
        <v>10000</v>
      </c>
      <c r="I84" s="6">
        <f t="shared" si="5"/>
        <v>10000</v>
      </c>
      <c r="J84" s="6" t="s">
        <v>36</v>
      </c>
      <c r="K84" s="36">
        <v>359402130000130</v>
      </c>
      <c r="L84" s="8">
        <v>8795309912</v>
      </c>
      <c r="M84" s="26" t="s">
        <v>48</v>
      </c>
    </row>
    <row r="85" spans="1:13" ht="30" customHeight="1">
      <c r="A85" s="4">
        <v>77</v>
      </c>
      <c r="B85" s="7" t="s">
        <v>127</v>
      </c>
      <c r="C85" s="7" t="s">
        <v>121</v>
      </c>
      <c r="D85" s="6">
        <v>8000</v>
      </c>
      <c r="E85" s="6">
        <f t="shared" si="3"/>
        <v>8000</v>
      </c>
      <c r="F85" s="6">
        <v>0</v>
      </c>
      <c r="G85" s="6">
        <v>0</v>
      </c>
      <c r="H85" s="6">
        <f t="shared" si="4"/>
        <v>8000</v>
      </c>
      <c r="I85" s="6">
        <f t="shared" si="5"/>
        <v>8000</v>
      </c>
      <c r="J85" s="6" t="s">
        <v>36</v>
      </c>
      <c r="K85" s="36" t="s">
        <v>191</v>
      </c>
      <c r="L85" s="8" t="s">
        <v>174</v>
      </c>
      <c r="M85" s="5" t="s">
        <v>159</v>
      </c>
    </row>
    <row r="86" spans="1:13" ht="30" customHeight="1">
      <c r="A86" s="4">
        <v>78</v>
      </c>
      <c r="B86" s="7" t="s">
        <v>227</v>
      </c>
      <c r="C86" s="7" t="s">
        <v>121</v>
      </c>
      <c r="D86" s="6">
        <v>8000</v>
      </c>
      <c r="E86" s="6">
        <f t="shared" si="3"/>
        <v>8000</v>
      </c>
      <c r="F86" s="6">
        <v>0</v>
      </c>
      <c r="G86" s="6">
        <v>0</v>
      </c>
      <c r="H86" s="6">
        <f t="shared" si="4"/>
        <v>8000</v>
      </c>
      <c r="I86" s="6">
        <f t="shared" si="5"/>
        <v>8000</v>
      </c>
      <c r="J86" s="6" t="s">
        <v>36</v>
      </c>
      <c r="K86" s="36" t="s">
        <v>192</v>
      </c>
      <c r="L86" s="8">
        <v>9918905623</v>
      </c>
      <c r="M86" s="7" t="s">
        <v>38</v>
      </c>
    </row>
    <row r="87" spans="1:13" ht="30" customHeight="1">
      <c r="A87" s="4">
        <v>79</v>
      </c>
      <c r="B87" s="7" t="s">
        <v>128</v>
      </c>
      <c r="C87" s="7" t="s">
        <v>129</v>
      </c>
      <c r="D87" s="6">
        <v>5000</v>
      </c>
      <c r="E87" s="6">
        <f t="shared" si="3"/>
        <v>5000</v>
      </c>
      <c r="F87" s="6">
        <v>0</v>
      </c>
      <c r="G87" s="6">
        <v>0</v>
      </c>
      <c r="H87" s="6">
        <f t="shared" si="4"/>
        <v>5000</v>
      </c>
      <c r="I87" s="6">
        <f t="shared" si="5"/>
        <v>5000</v>
      </c>
      <c r="J87" s="6" t="s">
        <v>36</v>
      </c>
      <c r="K87" s="36">
        <v>359402010101971</v>
      </c>
      <c r="L87" s="8">
        <v>8052864695</v>
      </c>
      <c r="M87" s="7" t="s">
        <v>160</v>
      </c>
    </row>
    <row r="88" spans="1:13" ht="30" customHeight="1">
      <c r="A88" s="4">
        <v>80</v>
      </c>
      <c r="B88" s="7" t="s">
        <v>130</v>
      </c>
      <c r="C88" s="7" t="s">
        <v>129</v>
      </c>
      <c r="D88" s="6">
        <v>5000</v>
      </c>
      <c r="E88" s="6">
        <f t="shared" si="3"/>
        <v>5000</v>
      </c>
      <c r="F88" s="6">
        <v>0</v>
      </c>
      <c r="G88" s="6">
        <v>0</v>
      </c>
      <c r="H88" s="6">
        <f t="shared" si="4"/>
        <v>5000</v>
      </c>
      <c r="I88" s="6">
        <f t="shared" si="5"/>
        <v>5000</v>
      </c>
      <c r="J88" s="6" t="s">
        <v>36</v>
      </c>
      <c r="K88" s="36">
        <v>400402010021857</v>
      </c>
      <c r="L88" s="8">
        <v>6391565381</v>
      </c>
      <c r="M88" s="7" t="s">
        <v>38</v>
      </c>
    </row>
    <row r="89" spans="1:13" ht="30" customHeight="1">
      <c r="A89" s="4">
        <v>81</v>
      </c>
      <c r="B89" s="7" t="s">
        <v>210</v>
      </c>
      <c r="C89" s="7" t="s">
        <v>129</v>
      </c>
      <c r="D89" s="6">
        <v>5000</v>
      </c>
      <c r="E89" s="6">
        <f t="shared" si="3"/>
        <v>5000</v>
      </c>
      <c r="F89" s="6">
        <v>0</v>
      </c>
      <c r="G89" s="6">
        <v>0</v>
      </c>
      <c r="H89" s="6">
        <f t="shared" si="4"/>
        <v>5000</v>
      </c>
      <c r="I89" s="6">
        <f t="shared" si="5"/>
        <v>5000</v>
      </c>
      <c r="J89" s="6" t="s">
        <v>36</v>
      </c>
      <c r="K89" s="36">
        <v>359402010110632</v>
      </c>
      <c r="L89" s="8">
        <v>7408316393</v>
      </c>
      <c r="M89" s="7" t="s">
        <v>38</v>
      </c>
    </row>
    <row r="90" spans="1:13" ht="30" customHeight="1">
      <c r="A90" s="4">
        <v>82</v>
      </c>
      <c r="B90" s="7" t="s">
        <v>131</v>
      </c>
      <c r="C90" s="7" t="s">
        <v>19</v>
      </c>
      <c r="D90" s="6">
        <v>10000</v>
      </c>
      <c r="E90" s="6">
        <f t="shared" si="3"/>
        <v>10000</v>
      </c>
      <c r="F90" s="6">
        <v>0</v>
      </c>
      <c r="G90" s="6">
        <v>0</v>
      </c>
      <c r="H90" s="6">
        <f t="shared" si="4"/>
        <v>10000</v>
      </c>
      <c r="I90" s="6">
        <f t="shared" si="5"/>
        <v>10000</v>
      </c>
      <c r="J90" s="6" t="s">
        <v>36</v>
      </c>
      <c r="K90" s="36">
        <v>50100620403695</v>
      </c>
      <c r="L90" s="8">
        <v>8736987641</v>
      </c>
      <c r="M90" s="7" t="s">
        <v>38</v>
      </c>
    </row>
    <row r="91" spans="1:13" ht="30" customHeight="1">
      <c r="A91" s="4">
        <v>83</v>
      </c>
      <c r="B91" s="7" t="s">
        <v>208</v>
      </c>
      <c r="C91" s="7" t="s">
        <v>207</v>
      </c>
      <c r="D91" s="6">
        <v>5000</v>
      </c>
      <c r="E91" s="6">
        <f t="shared" ref="E91:E97" si="16">D91</f>
        <v>5000</v>
      </c>
      <c r="F91" s="6">
        <v>0</v>
      </c>
      <c r="G91" s="6">
        <v>0</v>
      </c>
      <c r="H91" s="6">
        <f t="shared" ref="H91:H97" si="17">D91</f>
        <v>5000</v>
      </c>
      <c r="I91" s="6">
        <f t="shared" ref="I91:I97" si="18">D91</f>
        <v>5000</v>
      </c>
      <c r="J91" s="6" t="s">
        <v>36</v>
      </c>
      <c r="K91" s="36">
        <v>359502120010815</v>
      </c>
      <c r="L91" s="8">
        <v>7081166894</v>
      </c>
      <c r="M91" s="7" t="s">
        <v>38</v>
      </c>
    </row>
    <row r="92" spans="1:13" ht="30" customHeight="1">
      <c r="A92" s="4">
        <v>84</v>
      </c>
      <c r="B92" s="7" t="s">
        <v>209</v>
      </c>
      <c r="C92" s="7" t="s">
        <v>132</v>
      </c>
      <c r="D92" s="6">
        <v>7000</v>
      </c>
      <c r="E92" s="6">
        <f t="shared" si="16"/>
        <v>7000</v>
      </c>
      <c r="F92" s="6">
        <v>0</v>
      </c>
      <c r="G92" s="6">
        <v>0</v>
      </c>
      <c r="H92" s="6">
        <f t="shared" si="17"/>
        <v>7000</v>
      </c>
      <c r="I92" s="6">
        <f t="shared" si="18"/>
        <v>7000</v>
      </c>
      <c r="J92" s="6" t="s">
        <v>36</v>
      </c>
      <c r="K92" s="36" t="s">
        <v>193</v>
      </c>
      <c r="L92" s="8">
        <v>6387676296</v>
      </c>
      <c r="M92" s="7" t="s">
        <v>161</v>
      </c>
    </row>
    <row r="93" spans="1:13" ht="40.9" customHeight="1">
      <c r="A93" s="4">
        <v>85</v>
      </c>
      <c r="B93" s="7" t="s">
        <v>254</v>
      </c>
      <c r="C93" s="7" t="s">
        <v>133</v>
      </c>
      <c r="D93" s="6">
        <v>80000</v>
      </c>
      <c r="E93" s="6">
        <f t="shared" si="16"/>
        <v>80000</v>
      </c>
      <c r="F93" s="6">
        <v>0</v>
      </c>
      <c r="G93" s="6">
        <v>0</v>
      </c>
      <c r="H93" s="6">
        <f t="shared" si="17"/>
        <v>80000</v>
      </c>
      <c r="I93" s="6">
        <f t="shared" si="18"/>
        <v>80000</v>
      </c>
      <c r="J93" s="6" t="s">
        <v>36</v>
      </c>
      <c r="K93" s="36">
        <v>1490100100009730</v>
      </c>
      <c r="L93" s="32">
        <v>8796624824</v>
      </c>
      <c r="M93" s="7" t="s">
        <v>273</v>
      </c>
    </row>
    <row r="94" spans="1:13" ht="30" customHeight="1">
      <c r="A94" s="4">
        <v>86</v>
      </c>
      <c r="B94" s="7" t="s">
        <v>134</v>
      </c>
      <c r="C94" s="7" t="s">
        <v>135</v>
      </c>
      <c r="D94" s="6">
        <v>5500</v>
      </c>
      <c r="E94" s="6">
        <f t="shared" si="16"/>
        <v>5500</v>
      </c>
      <c r="F94" s="6">
        <v>0</v>
      </c>
      <c r="G94" s="6">
        <v>0</v>
      </c>
      <c r="H94" s="6">
        <f t="shared" si="17"/>
        <v>5500</v>
      </c>
      <c r="I94" s="6">
        <f t="shared" si="18"/>
        <v>5500</v>
      </c>
      <c r="J94" s="6" t="s">
        <v>36</v>
      </c>
      <c r="K94" s="36">
        <v>313152020101740</v>
      </c>
      <c r="L94" s="8">
        <v>8127917503</v>
      </c>
      <c r="M94" s="7" t="s">
        <v>38</v>
      </c>
    </row>
    <row r="95" spans="1:13" ht="30" customHeight="1">
      <c r="A95" s="4">
        <v>87</v>
      </c>
      <c r="B95" s="7" t="s">
        <v>136</v>
      </c>
      <c r="C95" s="7" t="s">
        <v>135</v>
      </c>
      <c r="D95" s="6">
        <v>5000</v>
      </c>
      <c r="E95" s="6">
        <f t="shared" si="16"/>
        <v>5000</v>
      </c>
      <c r="F95" s="6">
        <v>0</v>
      </c>
      <c r="G95" s="6">
        <v>0</v>
      </c>
      <c r="H95" s="6">
        <f t="shared" si="17"/>
        <v>5000</v>
      </c>
      <c r="I95" s="6">
        <f t="shared" si="18"/>
        <v>5000</v>
      </c>
      <c r="J95" s="6" t="s">
        <v>36</v>
      </c>
      <c r="K95" s="36">
        <v>41957864707</v>
      </c>
      <c r="L95" s="8">
        <v>8173080253</v>
      </c>
      <c r="M95" s="7" t="s">
        <v>38</v>
      </c>
    </row>
    <row r="96" spans="1:13" ht="30" customHeight="1">
      <c r="A96" s="4">
        <v>88</v>
      </c>
      <c r="B96" s="7" t="s">
        <v>241</v>
      </c>
      <c r="C96" s="7" t="s">
        <v>137</v>
      </c>
      <c r="D96" s="6">
        <v>5200</v>
      </c>
      <c r="E96" s="6">
        <f t="shared" si="16"/>
        <v>5200</v>
      </c>
      <c r="F96" s="6">
        <v>0</v>
      </c>
      <c r="G96" s="6">
        <v>0</v>
      </c>
      <c r="H96" s="6">
        <f t="shared" si="17"/>
        <v>5200</v>
      </c>
      <c r="I96" s="6">
        <f t="shared" si="18"/>
        <v>5200</v>
      </c>
      <c r="J96" s="6" t="s">
        <v>36</v>
      </c>
      <c r="K96" s="36" t="s">
        <v>194</v>
      </c>
      <c r="L96" s="8">
        <v>7800516965</v>
      </c>
      <c r="M96" s="7" t="s">
        <v>38</v>
      </c>
    </row>
    <row r="97" spans="1:13" ht="30" customHeight="1">
      <c r="A97" s="4">
        <v>89</v>
      </c>
      <c r="B97" s="7" t="s">
        <v>138</v>
      </c>
      <c r="C97" s="7" t="s">
        <v>137</v>
      </c>
      <c r="D97" s="6">
        <v>5500</v>
      </c>
      <c r="E97" s="6">
        <f t="shared" si="16"/>
        <v>5500</v>
      </c>
      <c r="F97" s="6">
        <v>0</v>
      </c>
      <c r="G97" s="6">
        <v>0</v>
      </c>
      <c r="H97" s="6">
        <f t="shared" si="17"/>
        <v>5500</v>
      </c>
      <c r="I97" s="6">
        <f t="shared" si="18"/>
        <v>5500</v>
      </c>
      <c r="J97" s="6" t="s">
        <v>36</v>
      </c>
      <c r="K97" s="36">
        <v>7698219030</v>
      </c>
      <c r="L97" s="8">
        <v>6391565381</v>
      </c>
      <c r="M97" s="7" t="s">
        <v>38</v>
      </c>
    </row>
    <row r="98" spans="1:13" ht="30" customHeight="1">
      <c r="B98" s="9"/>
      <c r="C98" s="11"/>
      <c r="D98" s="10"/>
      <c r="E98" s="9"/>
      <c r="F98" s="9"/>
      <c r="G98" s="9"/>
      <c r="H98" s="9"/>
      <c r="I98" s="9"/>
      <c r="J98" s="9"/>
      <c r="K98" s="39"/>
      <c r="L98" s="29"/>
      <c r="M98" s="11"/>
    </row>
    <row r="99" spans="1:13">
      <c r="B99" s="9"/>
      <c r="C99" s="11"/>
      <c r="D99" s="10"/>
      <c r="E99" s="9"/>
      <c r="F99" s="9"/>
      <c r="G99" s="9"/>
      <c r="H99" s="9"/>
      <c r="I99" s="9"/>
      <c r="J99" s="9"/>
      <c r="K99" s="39"/>
      <c r="L99" s="29"/>
      <c r="M99" s="11"/>
    </row>
    <row r="100" spans="1:13">
      <c r="B100" s="9"/>
      <c r="C100" s="11"/>
      <c r="D100" s="10"/>
      <c r="E100" s="9"/>
      <c r="F100" s="9"/>
      <c r="G100" s="9"/>
      <c r="H100" s="9"/>
      <c r="I100" s="9"/>
      <c r="J100" s="9"/>
      <c r="K100" s="39"/>
      <c r="L100" s="29"/>
      <c r="M100" s="11"/>
    </row>
    <row r="101" spans="1:13">
      <c r="B101" s="9"/>
      <c r="C101" s="11"/>
      <c r="D101" s="10"/>
      <c r="E101" s="9"/>
      <c r="F101" s="9"/>
      <c r="G101" s="9"/>
      <c r="H101" s="9"/>
      <c r="I101" s="9"/>
      <c r="J101" s="9"/>
      <c r="K101" s="39"/>
      <c r="L101" s="29"/>
      <c r="M101" s="11"/>
    </row>
  </sheetData>
  <sheetProtection selectLockedCells="1" selectUnlockedCells="1"/>
  <mergeCells count="5">
    <mergeCell ref="A6:B6"/>
    <mergeCell ref="C6:M6"/>
    <mergeCell ref="A7:B7"/>
    <mergeCell ref="C7:M7"/>
    <mergeCell ref="C1:M5"/>
  </mergeCells>
  <phoneticPr fontId="10" type="noConversion"/>
  <hyperlinks>
    <hyperlink ref="M51" r:id="rId1"/>
    <hyperlink ref="M41" r:id="rId2"/>
  </hyperlinks>
  <pageMargins left="0.35433070866141736" right="0.15748031496062992" top="0.43307086614173229" bottom="0.35433070866141736" header="0.23622047244094491" footer="0.15748031496062992"/>
  <pageSetup paperSize="9" scale="82" orientation="landscape" useFirstPageNumber="1" r:id="rId3"/>
  <headerFooter alignWithMargins="0">
    <oddHeader>&amp;C&amp;"Times New Roman,Regular"&amp;12&amp;A</oddHeader>
    <oddFooter>&amp;C&amp;"Times New Roman,Regular"&amp;12Page &amp;P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Administration</dc:creator>
  <cp:lastModifiedBy>user</cp:lastModifiedBy>
  <cp:lastPrinted>2026-05-28T06:19:17Z</cp:lastPrinted>
  <dcterms:created xsi:type="dcterms:W3CDTF">2022-03-25T09:02:53Z</dcterms:created>
  <dcterms:modified xsi:type="dcterms:W3CDTF">2026-05-28T06:19:47Z</dcterms:modified>
</cp:coreProperties>
</file>