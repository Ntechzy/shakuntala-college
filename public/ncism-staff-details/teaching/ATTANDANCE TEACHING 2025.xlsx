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are\Downloads\"/>
    </mc:Choice>
  </mc:AlternateContent>
  <xr:revisionPtr revIDLastSave="0" documentId="13_ncr:1_{D9EC342D-8543-4E81-B35A-C6D21249277A}" xr6:coauthVersionLast="47" xr6:coauthVersionMax="47" xr10:uidLastSave="{00000000-0000-0000-0000-000000000000}"/>
  <bookViews>
    <workbookView xWindow="-108" yWindow="-108" windowWidth="23256" windowHeight="12456" xr2:uid="{5CA7CBC2-E79A-44CB-8B96-E023ADD828BC}"/>
  </bookViews>
  <sheets>
    <sheet name="TEACHING STAFF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6" i="1" l="1"/>
  <c r="E66" i="1"/>
  <c r="K65" i="1"/>
  <c r="E65" i="1"/>
  <c r="K64" i="1"/>
  <c r="E64" i="1"/>
  <c r="K63" i="1"/>
  <c r="E63" i="1"/>
  <c r="K62" i="1"/>
  <c r="E62" i="1"/>
  <c r="K61" i="1"/>
  <c r="E61" i="1"/>
  <c r="K60" i="1"/>
  <c r="E60" i="1"/>
  <c r="K59" i="1"/>
  <c r="E59" i="1"/>
  <c r="K58" i="1"/>
  <c r="E58" i="1"/>
  <c r="K57" i="1"/>
  <c r="E57" i="1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Q44" i="1"/>
  <c r="K44" i="1"/>
  <c r="E44" i="1"/>
  <c r="Q43" i="1"/>
  <c r="K43" i="1"/>
  <c r="E43" i="1"/>
  <c r="Q42" i="1"/>
  <c r="K42" i="1"/>
  <c r="E42" i="1"/>
  <c r="Q41" i="1"/>
  <c r="K41" i="1"/>
  <c r="E41" i="1"/>
  <c r="Q40" i="1"/>
  <c r="K40" i="1"/>
  <c r="E40" i="1"/>
  <c r="Q39" i="1"/>
  <c r="K39" i="1"/>
  <c r="E39" i="1"/>
  <c r="Q38" i="1"/>
  <c r="K38" i="1"/>
  <c r="E38" i="1"/>
  <c r="Q37" i="1"/>
  <c r="K37" i="1"/>
  <c r="E37" i="1"/>
  <c r="Q36" i="1"/>
  <c r="K36" i="1"/>
  <c r="E36" i="1"/>
  <c r="Q35" i="1"/>
  <c r="K35" i="1"/>
  <c r="E35" i="1"/>
  <c r="Q34" i="1"/>
  <c r="K34" i="1"/>
  <c r="E34" i="1"/>
  <c r="Q33" i="1"/>
  <c r="K33" i="1"/>
  <c r="E33" i="1"/>
  <c r="Q32" i="1"/>
  <c r="K32" i="1"/>
  <c r="E32" i="1"/>
  <c r="Q31" i="1"/>
  <c r="K31" i="1"/>
  <c r="E31" i="1"/>
  <c r="Q30" i="1"/>
  <c r="K30" i="1"/>
  <c r="E30" i="1"/>
  <c r="Q29" i="1"/>
  <c r="K29" i="1"/>
  <c r="E29" i="1"/>
  <c r="Q28" i="1"/>
  <c r="K28" i="1"/>
  <c r="E28" i="1"/>
  <c r="E22" i="1"/>
  <c r="Q21" i="1"/>
  <c r="K21" i="1"/>
  <c r="E21" i="1"/>
  <c r="Q20" i="1"/>
  <c r="K20" i="1"/>
  <c r="E20" i="1"/>
  <c r="Q19" i="1"/>
  <c r="K19" i="1"/>
  <c r="E19" i="1"/>
  <c r="Q18" i="1"/>
  <c r="K18" i="1"/>
  <c r="E18" i="1"/>
  <c r="Q17" i="1"/>
  <c r="K17" i="1"/>
  <c r="E17" i="1"/>
  <c r="Q16" i="1"/>
  <c r="K16" i="1"/>
  <c r="E16" i="1"/>
  <c r="Q15" i="1"/>
  <c r="K15" i="1"/>
  <c r="E15" i="1"/>
  <c r="Q14" i="1"/>
  <c r="K14" i="1"/>
  <c r="E14" i="1"/>
  <c r="Q13" i="1"/>
  <c r="K13" i="1"/>
  <c r="E13" i="1"/>
  <c r="Q12" i="1"/>
  <c r="K12" i="1"/>
  <c r="E12" i="1"/>
  <c r="Q11" i="1"/>
  <c r="K11" i="1"/>
  <c r="E11" i="1"/>
  <c r="Q10" i="1"/>
  <c r="K10" i="1"/>
  <c r="E10" i="1"/>
  <c r="Q9" i="1"/>
  <c r="K9" i="1"/>
  <c r="E9" i="1"/>
  <c r="Q8" i="1"/>
  <c r="K8" i="1"/>
  <c r="E8" i="1"/>
  <c r="Q7" i="1"/>
  <c r="K7" i="1"/>
  <c r="E7" i="1"/>
  <c r="Q6" i="1"/>
  <c r="K6" i="1"/>
  <c r="E6" i="1"/>
  <c r="Q5" i="1"/>
  <c r="K5" i="1"/>
  <c r="E5" i="1"/>
</calcChain>
</file>

<file path=xl/sharedStrings.xml><?xml version="1.0" encoding="utf-8"?>
<sst xmlns="http://schemas.openxmlformats.org/spreadsheetml/2006/main" count="193" uniqueCount="32">
  <si>
    <t>Dr. Shakuntala Ayurvedic Medical College &amp; Hospital, Nayansand,Gaurabadshahpur - Jaunpur, U.P.-222133</t>
  </si>
  <si>
    <t>Attendance Summary of  Teaching Staff Monthly</t>
  </si>
  <si>
    <t>01-01-2025 to 31-01-2025</t>
  </si>
  <si>
    <t>01-02-2025 to 28-02-2025</t>
  </si>
  <si>
    <t>01-03-2025 to 31-03-2025</t>
  </si>
  <si>
    <t>Name Of Staff</t>
  </si>
  <si>
    <t>Total Working Day</t>
  </si>
  <si>
    <t>Total Present</t>
  </si>
  <si>
    <t>% of Attendance</t>
  </si>
  <si>
    <t>Prof.Dr.Beena Tripathi</t>
  </si>
  <si>
    <t>Prof.Dr.Anil Kumar Tripathi</t>
  </si>
  <si>
    <t>Dr.Mohammad Ishrail</t>
  </si>
  <si>
    <t>Dr.Rajendra Prasad Pal</t>
  </si>
  <si>
    <t>Dr.Satya Prakash Gupta</t>
  </si>
  <si>
    <t>Dr.Rudra Pratap Tiwari</t>
  </si>
  <si>
    <t>Dr.Vimlesh Kumar Tiwari</t>
  </si>
  <si>
    <t>Dr.Jitendra Kumar Mishra</t>
  </si>
  <si>
    <t>Mr.Dayashankar</t>
  </si>
  <si>
    <t>Mrs.Kiran Srivastava</t>
  </si>
  <si>
    <t>Dr.Gaurishankar Yadav</t>
  </si>
  <si>
    <t>Dr.Shaileshwari Yadav</t>
  </si>
  <si>
    <t>Dr.Ajay Kumar Anand</t>
  </si>
  <si>
    <t>Dr.Sharad Kumar Vishwakarma</t>
  </si>
  <si>
    <t>Dr.Rishi Kumar Yadav</t>
  </si>
  <si>
    <t>Dr.Pratibha Yadav</t>
  </si>
  <si>
    <t>Dr.Sarita Sathian</t>
  </si>
  <si>
    <t>Dr.Rakesh Kumar Mishra</t>
  </si>
  <si>
    <t>01-04-2025 to 30-04-2025</t>
  </si>
  <si>
    <t>01-05-2025 to 31-05-2025</t>
  </si>
  <si>
    <t>01-06-2025 to 30-06-2025</t>
  </si>
  <si>
    <t>01-07-2025 to 31-07-2025</t>
  </si>
  <si>
    <t>01-08-2025 to 31-08-2025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</si>
</sst>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121920</xdr:rowOff>
    </xdr:to>
    <xdr:sp macro="" textlink="">
      <xdr:nvSpPr>
        <xdr:cNvPr id="2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F22D3E2F-93B4-4E55-8286-0A006330CC9B}"/>
            </a:ext>
          </a:extLst>
        </xdr:cNvPr>
        <xdr:cNvSpPr>
          <a:spLocks noChangeAspect="1" noChangeArrowheads="1"/>
        </xdr:cNvSpPr>
      </xdr:nvSpPr>
      <xdr:spPr bwMode="auto">
        <a:xfrm>
          <a:off x="2842260" y="16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120015</xdr:rowOff>
    </xdr:to>
    <xdr:sp macro="" textlink="">
      <xdr:nvSpPr>
        <xdr:cNvPr id="3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8C72F35E-677C-4BD8-BA9D-ABEF11A15891}"/>
            </a:ext>
          </a:extLst>
        </xdr:cNvPr>
        <xdr:cNvSpPr>
          <a:spLocks noChangeAspect="1" noChangeArrowheads="1"/>
        </xdr:cNvSpPr>
      </xdr:nvSpPr>
      <xdr:spPr bwMode="auto">
        <a:xfrm>
          <a:off x="2842260" y="22631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120015</xdr:rowOff>
    </xdr:to>
    <xdr:sp macro="" textlink="">
      <xdr:nvSpPr>
        <xdr:cNvPr id="4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328FF19F-23F8-46FC-B615-71894C347C97}"/>
            </a:ext>
          </a:extLst>
        </xdr:cNvPr>
        <xdr:cNvSpPr>
          <a:spLocks noChangeAspect="1" noChangeArrowheads="1"/>
        </xdr:cNvSpPr>
      </xdr:nvSpPr>
      <xdr:spPr bwMode="auto">
        <a:xfrm>
          <a:off x="2842260" y="27203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120015</xdr:rowOff>
    </xdr:to>
    <xdr:sp macro="" textlink="">
      <xdr:nvSpPr>
        <xdr:cNvPr id="5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67068103-A04C-48C8-8710-84FD85129F6A}"/>
            </a:ext>
          </a:extLst>
        </xdr:cNvPr>
        <xdr:cNvSpPr>
          <a:spLocks noChangeAspect="1" noChangeArrowheads="1"/>
        </xdr:cNvSpPr>
      </xdr:nvSpPr>
      <xdr:spPr bwMode="auto">
        <a:xfrm>
          <a:off x="2842260" y="31775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120015</xdr:rowOff>
    </xdr:to>
    <xdr:sp macro="" textlink="">
      <xdr:nvSpPr>
        <xdr:cNvPr id="6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0BEB3E2A-B5E5-43C4-9B32-307D0D141A3B}"/>
            </a:ext>
          </a:extLst>
        </xdr:cNvPr>
        <xdr:cNvSpPr>
          <a:spLocks noChangeAspect="1" noChangeArrowheads="1"/>
        </xdr:cNvSpPr>
      </xdr:nvSpPr>
      <xdr:spPr bwMode="auto">
        <a:xfrm>
          <a:off x="2842260" y="36347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120015</xdr:rowOff>
    </xdr:to>
    <xdr:sp macro="" textlink="">
      <xdr:nvSpPr>
        <xdr:cNvPr id="7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E0A52798-A64A-4551-A5A7-E4E28BC4AB8A}"/>
            </a:ext>
          </a:extLst>
        </xdr:cNvPr>
        <xdr:cNvSpPr>
          <a:spLocks noChangeAspect="1" noChangeArrowheads="1"/>
        </xdr:cNvSpPr>
      </xdr:nvSpPr>
      <xdr:spPr bwMode="auto">
        <a:xfrm>
          <a:off x="2842260" y="40919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121920</xdr:rowOff>
    </xdr:to>
    <xdr:sp macro="" textlink="">
      <xdr:nvSpPr>
        <xdr:cNvPr id="8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B8A71D3C-4133-414C-AD34-2C795BBF8A4F}"/>
            </a:ext>
          </a:extLst>
        </xdr:cNvPr>
        <xdr:cNvSpPr>
          <a:spLocks noChangeAspect="1" noChangeArrowheads="1"/>
        </xdr:cNvSpPr>
      </xdr:nvSpPr>
      <xdr:spPr bwMode="auto">
        <a:xfrm>
          <a:off x="2842260" y="46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120015</xdr:rowOff>
    </xdr:to>
    <xdr:sp macro="" textlink="">
      <xdr:nvSpPr>
        <xdr:cNvPr id="9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EC670F5D-71B1-426B-A77C-037F08D0A7E4}"/>
            </a:ext>
          </a:extLst>
        </xdr:cNvPr>
        <xdr:cNvSpPr>
          <a:spLocks noChangeAspect="1" noChangeArrowheads="1"/>
        </xdr:cNvSpPr>
      </xdr:nvSpPr>
      <xdr:spPr bwMode="auto">
        <a:xfrm>
          <a:off x="2842260" y="53568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120015</xdr:rowOff>
    </xdr:to>
    <xdr:sp macro="" textlink="">
      <xdr:nvSpPr>
        <xdr:cNvPr id="10" name="AutoShape 1" descr="blob:https://web.whatsapp.com/9f25893f-8cc3-4570-b2a6-577d21aa3e18">
          <a:extLst>
            <a:ext uri="{FF2B5EF4-FFF2-40B4-BE49-F238E27FC236}">
              <a16:creationId xmlns:a16="http://schemas.microsoft.com/office/drawing/2014/main" id="{E6B93156-F445-4486-B8F6-D500B0F17735}"/>
            </a:ext>
          </a:extLst>
        </xdr:cNvPr>
        <xdr:cNvSpPr>
          <a:spLocks noChangeAspect="1" noChangeArrowheads="1"/>
        </xdr:cNvSpPr>
      </xdr:nvSpPr>
      <xdr:spPr bwMode="auto">
        <a:xfrm>
          <a:off x="2842260" y="581406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73A7-0AB1-4451-A892-7E1819C67199}">
  <dimension ref="A1:Y70"/>
  <sheetViews>
    <sheetView tabSelected="1" workbookViewId="0">
      <selection activeCell="E17" sqref="E17"/>
    </sheetView>
  </sheetViews>
  <sheetFormatPr defaultColWidth="14.33203125" defaultRowHeight="18" x14ac:dyDescent="0.35"/>
  <cols>
    <col min="1" max="1" width="4.88671875" style="9" customWidth="1"/>
    <col min="2" max="2" width="36.5546875" style="9" customWidth="1"/>
    <col min="3" max="3" width="13.88671875" customWidth="1"/>
    <col min="4" max="4" width="14.109375" bestFit="1" customWidth="1"/>
    <col min="5" max="5" width="17.5546875" bestFit="1" customWidth="1"/>
    <col min="6" max="6" width="3" customWidth="1"/>
    <col min="7" max="7" width="3.88671875" bestFit="1" customWidth="1"/>
    <col min="8" max="8" width="35.44140625" customWidth="1"/>
    <col min="9" max="9" width="13.88671875" bestFit="1" customWidth="1"/>
    <col min="10" max="10" width="14.109375" bestFit="1" customWidth="1"/>
    <col min="11" max="11" width="17.5546875" bestFit="1" customWidth="1"/>
    <col min="12" max="12" width="7.33203125" customWidth="1"/>
    <col min="13" max="13" width="3.88671875" style="10" bestFit="1" customWidth="1"/>
    <col min="14" max="14" width="36.6640625" style="10" customWidth="1"/>
    <col min="15" max="16" width="14.33203125" style="10"/>
    <col min="17" max="17" width="17.5546875" style="10" bestFit="1" customWidth="1"/>
  </cols>
  <sheetData>
    <row r="1" spans="1:17" ht="25.8" x14ac:dyDescent="0.3">
      <c r="A1" s="1" t="s">
        <v>0</v>
      </c>
      <c r="B1" s="1"/>
      <c r="C1" s="1"/>
      <c r="D1" s="1"/>
      <c r="E1" s="1"/>
      <c r="F1" s="10"/>
      <c r="G1" s="1" t="s">
        <v>0</v>
      </c>
      <c r="H1" s="1"/>
      <c r="I1" s="1"/>
      <c r="J1" s="1"/>
      <c r="K1" s="1"/>
      <c r="M1" s="1" t="s">
        <v>0</v>
      </c>
      <c r="N1" s="1"/>
      <c r="O1" s="1"/>
      <c r="P1" s="1"/>
      <c r="Q1" s="1"/>
    </row>
    <row r="2" spans="1:17" ht="25.8" x14ac:dyDescent="0.3">
      <c r="A2" s="1" t="s">
        <v>1</v>
      </c>
      <c r="B2" s="1"/>
      <c r="C2" s="1"/>
      <c r="D2" s="1"/>
      <c r="E2" s="1"/>
      <c r="F2" s="10"/>
      <c r="G2" s="1" t="s">
        <v>1</v>
      </c>
      <c r="H2" s="1"/>
      <c r="I2" s="1"/>
      <c r="J2" s="1"/>
      <c r="K2" s="1"/>
      <c r="M2" s="1" t="s">
        <v>1</v>
      </c>
      <c r="N2" s="1"/>
      <c r="O2" s="1"/>
      <c r="P2" s="1"/>
      <c r="Q2" s="1"/>
    </row>
    <row r="3" spans="1:17" ht="25.8" x14ac:dyDescent="0.3">
      <c r="A3" s="11"/>
      <c r="B3" s="2" t="s">
        <v>2</v>
      </c>
      <c r="C3" s="3"/>
      <c r="D3" s="3"/>
      <c r="E3" s="4"/>
      <c r="F3" s="10"/>
      <c r="G3" s="11"/>
      <c r="H3" s="2" t="s">
        <v>3</v>
      </c>
      <c r="I3" s="3"/>
      <c r="J3" s="3"/>
      <c r="K3" s="4"/>
      <c r="M3" s="11"/>
      <c r="N3" s="2" t="s">
        <v>4</v>
      </c>
      <c r="O3" s="3"/>
      <c r="P3" s="3"/>
      <c r="Q3" s="4"/>
    </row>
    <row r="4" spans="1:17" ht="31.2" x14ac:dyDescent="0.3">
      <c r="A4" s="5"/>
      <c r="B4" s="6" t="s">
        <v>5</v>
      </c>
      <c r="C4" s="5" t="s">
        <v>6</v>
      </c>
      <c r="D4" s="5" t="s">
        <v>7</v>
      </c>
      <c r="E4" s="7" t="s">
        <v>8</v>
      </c>
      <c r="F4" s="8"/>
      <c r="G4" s="5"/>
      <c r="H4" s="6" t="s">
        <v>5</v>
      </c>
      <c r="I4" s="5" t="s">
        <v>6</v>
      </c>
      <c r="J4" s="5" t="s">
        <v>7</v>
      </c>
      <c r="K4" s="6" t="s">
        <v>8</v>
      </c>
      <c r="M4" s="5"/>
      <c r="N4" s="6" t="s">
        <v>5</v>
      </c>
      <c r="O4" s="5" t="s">
        <v>6</v>
      </c>
      <c r="P4" s="5" t="s">
        <v>7</v>
      </c>
      <c r="Q4" s="6" t="s">
        <v>8</v>
      </c>
    </row>
    <row r="5" spans="1:17" ht="17.399999999999999" x14ac:dyDescent="0.3">
      <c r="A5" s="12">
        <v>1</v>
      </c>
      <c r="B5" s="13" t="s">
        <v>9</v>
      </c>
      <c r="C5" s="6">
        <v>22</v>
      </c>
      <c r="D5" s="6">
        <v>20</v>
      </c>
      <c r="E5" s="14">
        <f>D5*100/22</f>
        <v>90.909090909090907</v>
      </c>
      <c r="F5" s="10"/>
      <c r="G5" s="12">
        <v>1</v>
      </c>
      <c r="H5" s="13" t="s">
        <v>9</v>
      </c>
      <c r="I5" s="6">
        <v>22</v>
      </c>
      <c r="J5" s="6">
        <v>22</v>
      </c>
      <c r="K5" s="14">
        <f>J5*100/22</f>
        <v>100</v>
      </c>
      <c r="M5" s="12">
        <v>1</v>
      </c>
      <c r="N5" s="13" t="s">
        <v>9</v>
      </c>
      <c r="O5" s="6">
        <v>22</v>
      </c>
      <c r="P5" s="6">
        <v>22</v>
      </c>
      <c r="Q5" s="14">
        <f>P5*100/22</f>
        <v>100</v>
      </c>
    </row>
    <row r="6" spans="1:17" ht="27" customHeight="1" x14ac:dyDescent="0.3">
      <c r="A6" s="12">
        <v>2</v>
      </c>
      <c r="B6" s="13" t="s">
        <v>10</v>
      </c>
      <c r="C6" s="6">
        <v>22</v>
      </c>
      <c r="D6" s="6">
        <v>20</v>
      </c>
      <c r="E6" s="14">
        <f t="shared" ref="E6:E14" si="0">D6*100/22</f>
        <v>90.909090909090907</v>
      </c>
      <c r="F6" s="10"/>
      <c r="G6" s="12">
        <v>2</v>
      </c>
      <c r="H6" s="13" t="s">
        <v>10</v>
      </c>
      <c r="I6" s="6">
        <v>22</v>
      </c>
      <c r="J6" s="6">
        <v>22</v>
      </c>
      <c r="K6" s="14">
        <f t="shared" ref="K6:K21" si="1">J6*100/22</f>
        <v>100</v>
      </c>
      <c r="M6" s="12">
        <v>2</v>
      </c>
      <c r="N6" s="13" t="s">
        <v>10</v>
      </c>
      <c r="O6" s="6">
        <v>22</v>
      </c>
      <c r="P6" s="6">
        <v>16</v>
      </c>
      <c r="Q6" s="14">
        <f t="shared" ref="Q6:Q21" si="2">P6*100/22</f>
        <v>72.727272727272734</v>
      </c>
    </row>
    <row r="7" spans="1:17" ht="24.75" customHeight="1" x14ac:dyDescent="0.3">
      <c r="A7" s="12">
        <v>3</v>
      </c>
      <c r="B7" s="13" t="s">
        <v>11</v>
      </c>
      <c r="C7" s="6">
        <v>22</v>
      </c>
      <c r="D7" s="6">
        <v>21</v>
      </c>
      <c r="E7" s="14">
        <f t="shared" si="0"/>
        <v>95.454545454545453</v>
      </c>
      <c r="F7" s="10"/>
      <c r="G7" s="12">
        <v>3</v>
      </c>
      <c r="H7" s="13" t="s">
        <v>11</v>
      </c>
      <c r="I7" s="6">
        <v>22</v>
      </c>
      <c r="J7" s="6">
        <v>20</v>
      </c>
      <c r="K7" s="14">
        <f t="shared" si="1"/>
        <v>90.909090909090907</v>
      </c>
      <c r="M7" s="12">
        <v>3</v>
      </c>
      <c r="N7" s="13" t="s">
        <v>11</v>
      </c>
      <c r="O7" s="6">
        <v>22</v>
      </c>
      <c r="P7" s="6">
        <v>22</v>
      </c>
      <c r="Q7" s="14">
        <f t="shared" si="2"/>
        <v>100</v>
      </c>
    </row>
    <row r="8" spans="1:17" ht="17.399999999999999" x14ac:dyDescent="0.3">
      <c r="A8" s="12">
        <v>4</v>
      </c>
      <c r="B8" s="13" t="s">
        <v>12</v>
      </c>
      <c r="C8" s="6">
        <v>22</v>
      </c>
      <c r="D8" s="6">
        <v>21</v>
      </c>
      <c r="E8" s="14">
        <f t="shared" si="0"/>
        <v>95.454545454545453</v>
      </c>
      <c r="F8" s="10"/>
      <c r="G8" s="12">
        <v>4</v>
      </c>
      <c r="H8" s="13" t="s">
        <v>12</v>
      </c>
      <c r="I8" s="6">
        <v>22</v>
      </c>
      <c r="J8" s="6">
        <v>21</v>
      </c>
      <c r="K8" s="14">
        <f t="shared" si="1"/>
        <v>95.454545454545453</v>
      </c>
      <c r="M8" s="12">
        <v>4</v>
      </c>
      <c r="N8" s="13" t="s">
        <v>12</v>
      </c>
      <c r="O8" s="6">
        <v>22</v>
      </c>
      <c r="P8" s="6">
        <v>19</v>
      </c>
      <c r="Q8" s="14">
        <f t="shared" si="2"/>
        <v>86.36363636363636</v>
      </c>
    </row>
    <row r="9" spans="1:17" ht="17.399999999999999" x14ac:dyDescent="0.3">
      <c r="A9" s="12">
        <v>5</v>
      </c>
      <c r="B9" s="13" t="s">
        <v>13</v>
      </c>
      <c r="C9" s="6">
        <v>22</v>
      </c>
      <c r="D9" s="6">
        <v>20</v>
      </c>
      <c r="E9" s="14">
        <f t="shared" si="0"/>
        <v>90.909090909090907</v>
      </c>
      <c r="F9" s="10"/>
      <c r="G9" s="12">
        <v>5</v>
      </c>
      <c r="H9" s="13" t="s">
        <v>13</v>
      </c>
      <c r="I9" s="6">
        <v>22</v>
      </c>
      <c r="J9" s="6">
        <v>22</v>
      </c>
      <c r="K9" s="14">
        <f t="shared" si="1"/>
        <v>100</v>
      </c>
      <c r="M9" s="12">
        <v>5</v>
      </c>
      <c r="N9" s="13" t="s">
        <v>13</v>
      </c>
      <c r="O9" s="6">
        <v>22</v>
      </c>
      <c r="P9" s="6">
        <v>21</v>
      </c>
      <c r="Q9" s="14">
        <f t="shared" si="2"/>
        <v>95.454545454545453</v>
      </c>
    </row>
    <row r="10" spans="1:17" ht="17.399999999999999" x14ac:dyDescent="0.3">
      <c r="A10" s="12">
        <v>6</v>
      </c>
      <c r="B10" s="13" t="s">
        <v>14</v>
      </c>
      <c r="C10" s="6">
        <v>22</v>
      </c>
      <c r="D10" s="6">
        <v>22</v>
      </c>
      <c r="E10" s="14">
        <f t="shared" si="0"/>
        <v>100</v>
      </c>
      <c r="F10" s="10"/>
      <c r="G10" s="12">
        <v>6</v>
      </c>
      <c r="H10" s="13" t="s">
        <v>14</v>
      </c>
      <c r="I10" s="6">
        <v>22</v>
      </c>
      <c r="J10" s="6">
        <v>22</v>
      </c>
      <c r="K10" s="14">
        <f t="shared" si="1"/>
        <v>100</v>
      </c>
      <c r="M10" s="12">
        <v>6</v>
      </c>
      <c r="N10" s="13" t="s">
        <v>14</v>
      </c>
      <c r="O10" s="6">
        <v>22</v>
      </c>
      <c r="P10" s="6">
        <v>21</v>
      </c>
      <c r="Q10" s="14">
        <f t="shared" si="2"/>
        <v>95.454545454545453</v>
      </c>
    </row>
    <row r="11" spans="1:17" ht="17.399999999999999" x14ac:dyDescent="0.3">
      <c r="A11" s="12">
        <v>7</v>
      </c>
      <c r="B11" s="13" t="s">
        <v>15</v>
      </c>
      <c r="C11" s="6">
        <v>22</v>
      </c>
      <c r="D11" s="6">
        <v>21</v>
      </c>
      <c r="E11" s="14">
        <f t="shared" si="0"/>
        <v>95.454545454545453</v>
      </c>
      <c r="F11" s="10"/>
      <c r="G11" s="12">
        <v>7</v>
      </c>
      <c r="H11" s="13" t="s">
        <v>15</v>
      </c>
      <c r="I11" s="6">
        <v>22</v>
      </c>
      <c r="J11" s="6">
        <v>13</v>
      </c>
      <c r="K11" s="14">
        <f t="shared" si="1"/>
        <v>59.090909090909093</v>
      </c>
      <c r="M11" s="12">
        <v>7</v>
      </c>
      <c r="N11" s="13" t="s">
        <v>15</v>
      </c>
      <c r="O11" s="6">
        <v>22</v>
      </c>
      <c r="P11" s="6">
        <v>20</v>
      </c>
      <c r="Q11" s="14">
        <f t="shared" si="2"/>
        <v>90.909090909090907</v>
      </c>
    </row>
    <row r="12" spans="1:17" ht="17.399999999999999" x14ac:dyDescent="0.3">
      <c r="A12" s="12">
        <v>8</v>
      </c>
      <c r="B12" s="13" t="s">
        <v>16</v>
      </c>
      <c r="C12" s="6">
        <v>22</v>
      </c>
      <c r="D12" s="6">
        <v>20</v>
      </c>
      <c r="E12" s="14">
        <f t="shared" si="0"/>
        <v>90.909090909090907</v>
      </c>
      <c r="F12" s="10"/>
      <c r="G12" s="12">
        <v>8</v>
      </c>
      <c r="H12" s="13" t="s">
        <v>16</v>
      </c>
      <c r="I12" s="6">
        <v>22</v>
      </c>
      <c r="J12" s="6">
        <v>13</v>
      </c>
      <c r="K12" s="14">
        <f t="shared" si="1"/>
        <v>59.090909090909093</v>
      </c>
      <c r="M12" s="12">
        <v>8</v>
      </c>
      <c r="N12" s="13" t="s">
        <v>16</v>
      </c>
      <c r="O12" s="6">
        <v>22</v>
      </c>
      <c r="P12" s="6">
        <v>22</v>
      </c>
      <c r="Q12" s="14">
        <f t="shared" si="2"/>
        <v>100</v>
      </c>
    </row>
    <row r="13" spans="1:17" ht="17.399999999999999" x14ac:dyDescent="0.3">
      <c r="A13" s="12">
        <v>9</v>
      </c>
      <c r="B13" s="13" t="s">
        <v>17</v>
      </c>
      <c r="C13" s="6">
        <v>22</v>
      </c>
      <c r="D13" s="6">
        <v>20</v>
      </c>
      <c r="E13" s="14">
        <f t="shared" si="0"/>
        <v>90.909090909090907</v>
      </c>
      <c r="F13" s="10"/>
      <c r="G13" s="12">
        <v>9</v>
      </c>
      <c r="H13" s="13" t="s">
        <v>17</v>
      </c>
      <c r="I13" s="6">
        <v>22</v>
      </c>
      <c r="J13" s="6">
        <v>22</v>
      </c>
      <c r="K13" s="14">
        <f t="shared" si="1"/>
        <v>100</v>
      </c>
      <c r="M13" s="12">
        <v>9</v>
      </c>
      <c r="N13" s="13" t="s">
        <v>17</v>
      </c>
      <c r="O13" s="6">
        <v>22</v>
      </c>
      <c r="P13" s="6">
        <v>22</v>
      </c>
      <c r="Q13" s="14">
        <f t="shared" si="2"/>
        <v>100</v>
      </c>
    </row>
    <row r="14" spans="1:17" ht="17.399999999999999" x14ac:dyDescent="0.3">
      <c r="A14" s="12">
        <v>10</v>
      </c>
      <c r="B14" s="13" t="s">
        <v>18</v>
      </c>
      <c r="C14" s="6">
        <v>22</v>
      </c>
      <c r="D14" s="6">
        <v>22</v>
      </c>
      <c r="E14" s="14">
        <f t="shared" si="0"/>
        <v>100</v>
      </c>
      <c r="F14" s="10"/>
      <c r="G14" s="12">
        <v>10</v>
      </c>
      <c r="H14" s="13" t="s">
        <v>19</v>
      </c>
      <c r="I14" s="6">
        <v>22</v>
      </c>
      <c r="J14" s="6">
        <v>18</v>
      </c>
      <c r="K14" s="14">
        <f t="shared" si="1"/>
        <v>81.818181818181813</v>
      </c>
      <c r="M14" s="12">
        <v>10</v>
      </c>
      <c r="N14" s="13" t="s">
        <v>19</v>
      </c>
      <c r="O14" s="6">
        <v>22</v>
      </c>
      <c r="P14" s="6">
        <v>18</v>
      </c>
      <c r="Q14" s="14">
        <f t="shared" si="2"/>
        <v>81.818181818181813</v>
      </c>
    </row>
    <row r="15" spans="1:17" ht="17.399999999999999" x14ac:dyDescent="0.3">
      <c r="A15" s="12">
        <v>11</v>
      </c>
      <c r="B15" s="13" t="s">
        <v>19</v>
      </c>
      <c r="C15" s="6">
        <v>26</v>
      </c>
      <c r="D15" s="6">
        <v>26</v>
      </c>
      <c r="E15" s="14">
        <f>D15*100/26</f>
        <v>100</v>
      </c>
      <c r="F15" s="10"/>
      <c r="G15" s="12">
        <v>11</v>
      </c>
      <c r="H15" s="13" t="s">
        <v>20</v>
      </c>
      <c r="I15" s="6">
        <v>22</v>
      </c>
      <c r="J15" s="6">
        <v>22</v>
      </c>
      <c r="K15" s="14">
        <f t="shared" si="1"/>
        <v>100</v>
      </c>
      <c r="M15" s="12">
        <v>11</v>
      </c>
      <c r="N15" s="13" t="s">
        <v>20</v>
      </c>
      <c r="O15" s="6">
        <v>22</v>
      </c>
      <c r="P15" s="6">
        <v>22</v>
      </c>
      <c r="Q15" s="14">
        <f t="shared" si="2"/>
        <v>100</v>
      </c>
    </row>
    <row r="16" spans="1:17" ht="17.399999999999999" x14ac:dyDescent="0.3">
      <c r="A16" s="12">
        <v>12</v>
      </c>
      <c r="B16" s="13" t="s">
        <v>20</v>
      </c>
      <c r="C16" s="6">
        <v>26</v>
      </c>
      <c r="D16" s="6">
        <v>26</v>
      </c>
      <c r="E16" s="14">
        <f t="shared" ref="E16:E21" si="3">D16*100/26</f>
        <v>100</v>
      </c>
      <c r="F16" s="10"/>
      <c r="G16" s="12">
        <v>12</v>
      </c>
      <c r="H16" s="13" t="s">
        <v>21</v>
      </c>
      <c r="I16" s="6">
        <v>22</v>
      </c>
      <c r="J16" s="6">
        <v>22</v>
      </c>
      <c r="K16" s="14">
        <f t="shared" si="1"/>
        <v>100</v>
      </c>
      <c r="M16" s="12">
        <v>12</v>
      </c>
      <c r="N16" s="13" t="s">
        <v>21</v>
      </c>
      <c r="O16" s="6">
        <v>22</v>
      </c>
      <c r="P16" s="6">
        <v>22</v>
      </c>
      <c r="Q16" s="14">
        <f t="shared" si="2"/>
        <v>100</v>
      </c>
    </row>
    <row r="17" spans="1:25" ht="27.75" customHeight="1" x14ac:dyDescent="0.3">
      <c r="A17" s="12">
        <v>13</v>
      </c>
      <c r="B17" s="13" t="s">
        <v>21</v>
      </c>
      <c r="C17" s="6">
        <v>26</v>
      </c>
      <c r="D17" s="6">
        <v>26</v>
      </c>
      <c r="E17" s="14">
        <f t="shared" si="3"/>
        <v>100</v>
      </c>
      <c r="F17" s="10"/>
      <c r="G17" s="12">
        <v>13</v>
      </c>
      <c r="H17" s="13" t="s">
        <v>22</v>
      </c>
      <c r="I17" s="6">
        <v>22</v>
      </c>
      <c r="J17" s="6">
        <v>22</v>
      </c>
      <c r="K17" s="14">
        <f t="shared" si="1"/>
        <v>100</v>
      </c>
      <c r="M17" s="12">
        <v>13</v>
      </c>
      <c r="N17" s="13" t="s">
        <v>22</v>
      </c>
      <c r="O17" s="6">
        <v>22</v>
      </c>
      <c r="P17" s="6">
        <v>21</v>
      </c>
      <c r="Q17" s="14">
        <f t="shared" si="2"/>
        <v>95.454545454545453</v>
      </c>
    </row>
    <row r="18" spans="1:25" ht="36" customHeight="1" x14ac:dyDescent="0.3">
      <c r="A18" s="12">
        <v>14</v>
      </c>
      <c r="B18" s="13" t="s">
        <v>22</v>
      </c>
      <c r="C18" s="6">
        <v>26</v>
      </c>
      <c r="D18" s="6">
        <v>26</v>
      </c>
      <c r="E18" s="14">
        <f t="shared" si="3"/>
        <v>100</v>
      </c>
      <c r="F18" s="10"/>
      <c r="G18" s="12">
        <v>14</v>
      </c>
      <c r="H18" s="13" t="s">
        <v>23</v>
      </c>
      <c r="I18" s="6">
        <v>22</v>
      </c>
      <c r="J18" s="6">
        <v>22</v>
      </c>
      <c r="K18" s="14">
        <f t="shared" si="1"/>
        <v>100</v>
      </c>
      <c r="M18" s="12">
        <v>14</v>
      </c>
      <c r="N18" s="13" t="s">
        <v>23</v>
      </c>
      <c r="O18" s="6">
        <v>22</v>
      </c>
      <c r="P18" s="6">
        <v>22</v>
      </c>
      <c r="Q18" s="14">
        <f t="shared" si="2"/>
        <v>100</v>
      </c>
    </row>
    <row r="19" spans="1:25" ht="17.399999999999999" x14ac:dyDescent="0.3">
      <c r="A19" s="12">
        <v>15</v>
      </c>
      <c r="B19" s="13" t="s">
        <v>23</v>
      </c>
      <c r="C19" s="6">
        <v>26</v>
      </c>
      <c r="D19" s="6">
        <v>26</v>
      </c>
      <c r="E19" s="14">
        <f t="shared" si="3"/>
        <v>100</v>
      </c>
      <c r="F19" s="10"/>
      <c r="G19" s="12">
        <v>15</v>
      </c>
      <c r="H19" s="13" t="s">
        <v>24</v>
      </c>
      <c r="I19" s="6">
        <v>22</v>
      </c>
      <c r="J19" s="6">
        <v>22</v>
      </c>
      <c r="K19" s="14">
        <f t="shared" si="1"/>
        <v>100</v>
      </c>
      <c r="M19" s="12">
        <v>15</v>
      </c>
      <c r="N19" s="13" t="s">
        <v>24</v>
      </c>
      <c r="O19" s="6">
        <v>22</v>
      </c>
      <c r="P19" s="6">
        <v>14</v>
      </c>
      <c r="Q19" s="14">
        <f t="shared" si="2"/>
        <v>63.636363636363633</v>
      </c>
    </row>
    <row r="20" spans="1:25" ht="17.399999999999999" x14ac:dyDescent="0.3">
      <c r="A20" s="12">
        <v>16</v>
      </c>
      <c r="B20" s="13" t="s">
        <v>24</v>
      </c>
      <c r="C20" s="6">
        <v>26</v>
      </c>
      <c r="D20" s="6">
        <v>26</v>
      </c>
      <c r="E20" s="14">
        <f t="shared" si="3"/>
        <v>100</v>
      </c>
      <c r="F20" s="10"/>
      <c r="G20" s="12">
        <v>16</v>
      </c>
      <c r="H20" s="13" t="s">
        <v>25</v>
      </c>
      <c r="I20" s="6">
        <v>22</v>
      </c>
      <c r="J20" s="6">
        <v>20</v>
      </c>
      <c r="K20" s="14">
        <f t="shared" si="1"/>
        <v>90.909090909090907</v>
      </c>
      <c r="M20" s="12">
        <v>16</v>
      </c>
      <c r="N20" s="13" t="s">
        <v>25</v>
      </c>
      <c r="O20" s="6">
        <v>22</v>
      </c>
      <c r="P20" s="6">
        <v>20</v>
      </c>
      <c r="Q20" s="14">
        <f t="shared" si="2"/>
        <v>90.909090909090907</v>
      </c>
    </row>
    <row r="21" spans="1:25" ht="17.399999999999999" x14ac:dyDescent="0.3">
      <c r="A21" s="12">
        <v>17</v>
      </c>
      <c r="B21" s="13" t="s">
        <v>25</v>
      </c>
      <c r="C21" s="6">
        <v>26</v>
      </c>
      <c r="D21" s="6">
        <v>26</v>
      </c>
      <c r="E21" s="14">
        <f t="shared" si="3"/>
        <v>100</v>
      </c>
      <c r="F21" s="10"/>
      <c r="G21" s="12">
        <v>17</v>
      </c>
      <c r="H21" s="13" t="s">
        <v>26</v>
      </c>
      <c r="I21" s="6">
        <v>22</v>
      </c>
      <c r="J21" s="6">
        <v>20</v>
      </c>
      <c r="K21" s="14">
        <f t="shared" si="1"/>
        <v>90.909090909090907</v>
      </c>
      <c r="M21" s="12">
        <v>17</v>
      </c>
      <c r="N21" s="13" t="s">
        <v>26</v>
      </c>
      <c r="O21" s="6">
        <v>22</v>
      </c>
      <c r="P21" s="6">
        <v>22</v>
      </c>
      <c r="Q21" s="14">
        <f t="shared" si="2"/>
        <v>100</v>
      </c>
    </row>
    <row r="22" spans="1:25" ht="17.399999999999999" x14ac:dyDescent="0.3">
      <c r="A22" s="12">
        <v>18</v>
      </c>
      <c r="B22" s="13" t="s">
        <v>26</v>
      </c>
      <c r="C22" s="6">
        <v>14</v>
      </c>
      <c r="D22" s="6">
        <v>14</v>
      </c>
      <c r="E22" s="14">
        <f>D22*100/14</f>
        <v>100</v>
      </c>
      <c r="F22" s="10"/>
      <c r="G22" s="10"/>
      <c r="H22" s="10"/>
      <c r="I22" s="10"/>
      <c r="J22" s="10"/>
      <c r="K22" s="10"/>
    </row>
    <row r="24" spans="1:25" ht="25.8" x14ac:dyDescent="0.3">
      <c r="A24" s="1" t="s">
        <v>0</v>
      </c>
      <c r="B24" s="1"/>
      <c r="C24" s="1"/>
      <c r="D24" s="1"/>
      <c r="E24" s="1"/>
      <c r="G24" s="1" t="s">
        <v>0</v>
      </c>
      <c r="H24" s="1"/>
      <c r="I24" s="1"/>
      <c r="J24" s="1"/>
      <c r="K24" s="1"/>
      <c r="M24" s="1" t="s">
        <v>0</v>
      </c>
      <c r="N24" s="1"/>
      <c r="O24" s="1"/>
      <c r="P24" s="1"/>
      <c r="Q24" s="1"/>
    </row>
    <row r="25" spans="1:25" ht="25.8" x14ac:dyDescent="0.3">
      <c r="A25" s="1" t="s">
        <v>1</v>
      </c>
      <c r="B25" s="1"/>
      <c r="C25" s="1"/>
      <c r="D25" s="1"/>
      <c r="E25" s="1"/>
      <c r="G25" s="1" t="s">
        <v>1</v>
      </c>
      <c r="H25" s="1"/>
      <c r="I25" s="1"/>
      <c r="J25" s="1"/>
      <c r="K25" s="1"/>
      <c r="M25" s="1" t="s">
        <v>1</v>
      </c>
      <c r="N25" s="1"/>
      <c r="O25" s="1"/>
      <c r="P25" s="1"/>
      <c r="Q25" s="1"/>
    </row>
    <row r="26" spans="1:25" ht="25.8" x14ac:dyDescent="0.3">
      <c r="A26" s="11"/>
      <c r="B26" s="2" t="s">
        <v>27</v>
      </c>
      <c r="C26" s="3"/>
      <c r="D26" s="3"/>
      <c r="E26" s="4"/>
      <c r="F26" s="10"/>
      <c r="G26" s="11"/>
      <c r="H26" s="2" t="s">
        <v>28</v>
      </c>
      <c r="I26" s="3"/>
      <c r="J26" s="3"/>
      <c r="K26" s="4"/>
      <c r="L26" s="10"/>
      <c r="M26" s="11"/>
      <c r="N26" s="2" t="s">
        <v>29</v>
      </c>
      <c r="O26" s="3"/>
      <c r="P26" s="3"/>
      <c r="Q26" s="4"/>
      <c r="R26" s="10"/>
      <c r="S26" s="10"/>
      <c r="T26" s="10"/>
      <c r="U26" s="10"/>
      <c r="V26" s="10"/>
      <c r="W26" s="10"/>
      <c r="X26" s="10"/>
      <c r="Y26" s="10"/>
    </row>
    <row r="27" spans="1:25" ht="31.2" x14ac:dyDescent="0.3">
      <c r="A27" s="5"/>
      <c r="B27" s="6" t="s">
        <v>5</v>
      </c>
      <c r="C27" s="5" t="s">
        <v>6</v>
      </c>
      <c r="D27" s="5" t="s">
        <v>7</v>
      </c>
      <c r="E27" s="6" t="s">
        <v>8</v>
      </c>
      <c r="F27" s="10"/>
      <c r="G27" s="5"/>
      <c r="H27" s="6" t="s">
        <v>5</v>
      </c>
      <c r="I27" s="5" t="s">
        <v>6</v>
      </c>
      <c r="J27" s="5" t="s">
        <v>7</v>
      </c>
      <c r="K27" s="6" t="s">
        <v>8</v>
      </c>
      <c r="L27" s="10"/>
      <c r="M27" s="5"/>
      <c r="N27" s="6" t="s">
        <v>5</v>
      </c>
      <c r="O27" s="5" t="s">
        <v>6</v>
      </c>
      <c r="P27" s="5" t="s">
        <v>7</v>
      </c>
      <c r="Q27" s="6" t="s">
        <v>8</v>
      </c>
      <c r="R27" s="10"/>
      <c r="S27" s="10"/>
      <c r="T27" s="10"/>
      <c r="U27" s="10"/>
      <c r="V27" s="10"/>
      <c r="W27" s="10"/>
      <c r="X27" s="10"/>
      <c r="Y27" s="10"/>
    </row>
    <row r="28" spans="1:25" ht="17.399999999999999" x14ac:dyDescent="0.3">
      <c r="A28" s="12">
        <v>1</v>
      </c>
      <c r="B28" s="13" t="s">
        <v>9</v>
      </c>
      <c r="C28" s="6">
        <v>23</v>
      </c>
      <c r="D28" s="6">
        <v>23</v>
      </c>
      <c r="E28" s="14">
        <f>D28*100/23</f>
        <v>100</v>
      </c>
      <c r="F28" s="10"/>
      <c r="G28" s="12">
        <v>1</v>
      </c>
      <c r="H28" s="13" t="s">
        <v>9</v>
      </c>
      <c r="I28" s="6">
        <v>20</v>
      </c>
      <c r="J28" s="6">
        <v>20</v>
      </c>
      <c r="K28" s="14">
        <f>J28*100/20</f>
        <v>100</v>
      </c>
      <c r="L28" s="10"/>
      <c r="M28" s="12">
        <v>1</v>
      </c>
      <c r="N28" s="13" t="s">
        <v>9</v>
      </c>
      <c r="O28" s="6">
        <v>17</v>
      </c>
      <c r="P28" s="6">
        <v>10</v>
      </c>
      <c r="Q28" s="14">
        <f>P28*100/17</f>
        <v>58.823529411764703</v>
      </c>
      <c r="R28" s="10"/>
      <c r="S28" s="10"/>
      <c r="T28" s="10"/>
      <c r="U28" s="10"/>
      <c r="V28" s="10"/>
      <c r="W28" s="10"/>
      <c r="X28" s="10"/>
      <c r="Y28" s="10"/>
    </row>
    <row r="29" spans="1:25" ht="17.399999999999999" x14ac:dyDescent="0.3">
      <c r="A29" s="12">
        <v>2</v>
      </c>
      <c r="B29" s="13" t="s">
        <v>10</v>
      </c>
      <c r="C29" s="6">
        <v>23</v>
      </c>
      <c r="D29" s="6">
        <v>23</v>
      </c>
      <c r="E29" s="14">
        <f t="shared" ref="E29:E44" si="4">D29*100/23</f>
        <v>100</v>
      </c>
      <c r="F29" s="10"/>
      <c r="G29" s="12">
        <v>2</v>
      </c>
      <c r="H29" s="13" t="s">
        <v>10</v>
      </c>
      <c r="I29" s="6">
        <v>26</v>
      </c>
      <c r="J29" s="6">
        <v>26</v>
      </c>
      <c r="K29" s="14">
        <f>J29*100/26</f>
        <v>100</v>
      </c>
      <c r="L29" s="10"/>
      <c r="M29" s="12">
        <v>2</v>
      </c>
      <c r="N29" s="13" t="s">
        <v>10</v>
      </c>
      <c r="O29" s="6">
        <v>13</v>
      </c>
      <c r="P29" s="6">
        <v>13</v>
      </c>
      <c r="Q29" s="14">
        <f>P29*100/13</f>
        <v>100</v>
      </c>
      <c r="R29" s="10"/>
      <c r="S29" s="10"/>
      <c r="T29" s="10"/>
      <c r="U29" s="10"/>
      <c r="V29" s="10"/>
      <c r="W29" s="10"/>
      <c r="X29" s="10"/>
      <c r="Y29" s="10"/>
    </row>
    <row r="30" spans="1:25" ht="17.399999999999999" x14ac:dyDescent="0.3">
      <c r="A30" s="12">
        <v>3</v>
      </c>
      <c r="B30" s="13" t="s">
        <v>11</v>
      </c>
      <c r="C30" s="6">
        <v>23</v>
      </c>
      <c r="D30" s="6">
        <v>23</v>
      </c>
      <c r="E30" s="14">
        <f t="shared" si="4"/>
        <v>100</v>
      </c>
      <c r="F30" s="10"/>
      <c r="G30" s="12">
        <v>3</v>
      </c>
      <c r="H30" s="13" t="s">
        <v>11</v>
      </c>
      <c r="I30" s="6">
        <v>20</v>
      </c>
      <c r="J30" s="6">
        <v>20</v>
      </c>
      <c r="K30" s="14">
        <f>J30*100/20</f>
        <v>100</v>
      </c>
      <c r="L30" s="10"/>
      <c r="M30" s="12">
        <v>3</v>
      </c>
      <c r="N30" s="13" t="s">
        <v>11</v>
      </c>
      <c r="O30" s="6">
        <v>17</v>
      </c>
      <c r="P30" s="6">
        <v>17</v>
      </c>
      <c r="Q30" s="14">
        <f>P30*100/17</f>
        <v>100</v>
      </c>
      <c r="R30" s="10"/>
      <c r="S30" s="10"/>
      <c r="T30" s="10"/>
      <c r="U30" s="10"/>
      <c r="V30" s="10"/>
      <c r="W30" s="10"/>
      <c r="X30" s="10"/>
      <c r="Y30" s="10"/>
    </row>
    <row r="31" spans="1:25" ht="17.399999999999999" x14ac:dyDescent="0.3">
      <c r="A31" s="12">
        <v>4</v>
      </c>
      <c r="B31" s="13" t="s">
        <v>12</v>
      </c>
      <c r="C31" s="6">
        <v>23</v>
      </c>
      <c r="D31" s="6">
        <v>12</v>
      </c>
      <c r="E31" s="14">
        <f>D31*100/23</f>
        <v>52.173913043478258</v>
      </c>
      <c r="F31" s="10"/>
      <c r="G31" s="12">
        <v>4</v>
      </c>
      <c r="H31" s="13" t="s">
        <v>12</v>
      </c>
      <c r="I31" s="6">
        <v>20</v>
      </c>
      <c r="J31" s="6">
        <v>11</v>
      </c>
      <c r="K31" s="14">
        <f t="shared" ref="K31:K35" si="5">J31*100/20</f>
        <v>55</v>
      </c>
      <c r="L31" s="10"/>
      <c r="M31" s="12">
        <v>4</v>
      </c>
      <c r="N31" s="13" t="s">
        <v>12</v>
      </c>
      <c r="O31" s="6">
        <v>17</v>
      </c>
      <c r="P31" s="6">
        <v>12</v>
      </c>
      <c r="Q31" s="14">
        <f>P31*100/17</f>
        <v>70.588235294117652</v>
      </c>
      <c r="R31" s="10"/>
      <c r="S31" s="10"/>
      <c r="T31" s="10"/>
      <c r="U31" s="10"/>
      <c r="V31" s="10"/>
      <c r="W31" s="10"/>
      <c r="X31" s="10"/>
      <c r="Y31" s="10"/>
    </row>
    <row r="32" spans="1:25" ht="17.399999999999999" x14ac:dyDescent="0.3">
      <c r="A32" s="12">
        <v>5</v>
      </c>
      <c r="B32" s="13" t="s">
        <v>13</v>
      </c>
      <c r="C32" s="6">
        <v>23</v>
      </c>
      <c r="D32" s="6">
        <v>23</v>
      </c>
      <c r="E32" s="14">
        <f t="shared" si="4"/>
        <v>100</v>
      </c>
      <c r="F32" s="10"/>
      <c r="G32" s="12">
        <v>5</v>
      </c>
      <c r="H32" s="13" t="s">
        <v>13</v>
      </c>
      <c r="I32" s="6">
        <v>20</v>
      </c>
      <c r="J32" s="6">
        <v>20</v>
      </c>
      <c r="K32" s="14">
        <f t="shared" si="5"/>
        <v>100</v>
      </c>
      <c r="L32" s="10"/>
      <c r="M32" s="12">
        <v>5</v>
      </c>
      <c r="N32" s="13" t="s">
        <v>13</v>
      </c>
      <c r="O32" s="6">
        <v>17</v>
      </c>
      <c r="P32" s="6">
        <v>17</v>
      </c>
      <c r="Q32" s="14">
        <f>P32*100/17</f>
        <v>100</v>
      </c>
      <c r="R32" s="10"/>
      <c r="S32" s="10"/>
      <c r="T32" s="10"/>
      <c r="U32" s="10"/>
      <c r="V32" s="10"/>
      <c r="W32" s="10"/>
      <c r="X32" s="10"/>
      <c r="Y32" s="10"/>
    </row>
    <row r="33" spans="1:25" ht="17.399999999999999" x14ac:dyDescent="0.3">
      <c r="A33" s="12">
        <v>6</v>
      </c>
      <c r="B33" s="13" t="s">
        <v>14</v>
      </c>
      <c r="C33" s="6">
        <v>23</v>
      </c>
      <c r="D33" s="6">
        <v>22</v>
      </c>
      <c r="E33" s="14">
        <f t="shared" si="4"/>
        <v>95.652173913043484</v>
      </c>
      <c r="F33" s="10"/>
      <c r="G33" s="12">
        <v>6</v>
      </c>
      <c r="H33" s="13" t="s">
        <v>14</v>
      </c>
      <c r="I33" s="6">
        <v>20</v>
      </c>
      <c r="J33" s="6">
        <v>20</v>
      </c>
      <c r="K33" s="14">
        <f t="shared" si="5"/>
        <v>100</v>
      </c>
      <c r="L33" s="10"/>
      <c r="M33" s="12">
        <v>6</v>
      </c>
      <c r="N33" s="13" t="s">
        <v>14</v>
      </c>
      <c r="O33" s="6">
        <v>17</v>
      </c>
      <c r="P33" s="6">
        <v>13</v>
      </c>
      <c r="Q33" s="14">
        <f t="shared" ref="Q33:Q36" si="6">P33*100/17</f>
        <v>76.470588235294116</v>
      </c>
      <c r="R33" s="10"/>
      <c r="S33" s="10"/>
      <c r="T33" s="10"/>
      <c r="U33" s="10"/>
      <c r="V33" s="10"/>
      <c r="W33" s="10"/>
      <c r="X33" s="10"/>
      <c r="Y33" s="10"/>
    </row>
    <row r="34" spans="1:25" ht="17.399999999999999" x14ac:dyDescent="0.3">
      <c r="A34" s="12">
        <v>7</v>
      </c>
      <c r="B34" s="13" t="s">
        <v>15</v>
      </c>
      <c r="C34" s="6">
        <v>23</v>
      </c>
      <c r="D34" s="6">
        <v>20</v>
      </c>
      <c r="E34" s="14">
        <f t="shared" si="4"/>
        <v>86.956521739130437</v>
      </c>
      <c r="F34" s="10"/>
      <c r="G34" s="12">
        <v>7</v>
      </c>
      <c r="H34" s="13" t="s">
        <v>15</v>
      </c>
      <c r="I34" s="6">
        <v>20</v>
      </c>
      <c r="J34" s="6">
        <v>19</v>
      </c>
      <c r="K34" s="14">
        <f t="shared" si="5"/>
        <v>95</v>
      </c>
      <c r="L34" s="10"/>
      <c r="M34" s="12">
        <v>7</v>
      </c>
      <c r="N34" s="13" t="s">
        <v>15</v>
      </c>
      <c r="O34" s="6">
        <v>17</v>
      </c>
      <c r="P34" s="6">
        <v>14</v>
      </c>
      <c r="Q34" s="14">
        <f t="shared" si="6"/>
        <v>82.352941176470594</v>
      </c>
      <c r="R34" s="10"/>
      <c r="S34" s="10"/>
      <c r="T34" s="10"/>
      <c r="U34" s="10"/>
      <c r="V34" s="10"/>
      <c r="W34" s="10"/>
      <c r="X34" s="10"/>
      <c r="Y34" s="10"/>
    </row>
    <row r="35" spans="1:25" ht="17.399999999999999" x14ac:dyDescent="0.3">
      <c r="A35" s="12">
        <v>8</v>
      </c>
      <c r="B35" s="13" t="s">
        <v>16</v>
      </c>
      <c r="C35" s="6">
        <v>23</v>
      </c>
      <c r="D35" s="6">
        <v>23</v>
      </c>
      <c r="E35" s="14">
        <f t="shared" si="4"/>
        <v>100</v>
      </c>
      <c r="F35" s="10"/>
      <c r="G35" s="12">
        <v>8</v>
      </c>
      <c r="H35" s="13" t="s">
        <v>16</v>
      </c>
      <c r="I35" s="6">
        <v>20</v>
      </c>
      <c r="J35" s="6">
        <v>17</v>
      </c>
      <c r="K35" s="14">
        <f t="shared" si="5"/>
        <v>85</v>
      </c>
      <c r="L35" s="10"/>
      <c r="M35" s="12">
        <v>8</v>
      </c>
      <c r="N35" s="13" t="s">
        <v>16</v>
      </c>
      <c r="O35" s="6">
        <v>17</v>
      </c>
      <c r="P35" s="6">
        <v>17</v>
      </c>
      <c r="Q35" s="14">
        <f t="shared" si="6"/>
        <v>100</v>
      </c>
      <c r="R35" s="10"/>
      <c r="S35" s="10"/>
      <c r="T35" s="10"/>
      <c r="U35" s="10"/>
      <c r="V35" s="10"/>
      <c r="W35" s="10"/>
      <c r="X35" s="10"/>
      <c r="Y35" s="10"/>
    </row>
    <row r="36" spans="1:25" ht="17.399999999999999" x14ac:dyDescent="0.3">
      <c r="A36" s="12">
        <v>9</v>
      </c>
      <c r="B36" s="13" t="s">
        <v>17</v>
      </c>
      <c r="C36" s="6">
        <v>23</v>
      </c>
      <c r="D36" s="6">
        <v>17</v>
      </c>
      <c r="E36" s="14">
        <f t="shared" si="4"/>
        <v>73.913043478260875</v>
      </c>
      <c r="F36" s="10"/>
      <c r="G36" s="12">
        <v>9</v>
      </c>
      <c r="H36" s="13" t="s">
        <v>17</v>
      </c>
      <c r="I36" s="6">
        <v>19</v>
      </c>
      <c r="J36" s="6">
        <v>19</v>
      </c>
      <c r="K36" s="14">
        <f>J36*100/19</f>
        <v>100</v>
      </c>
      <c r="L36" s="10"/>
      <c r="M36" s="12">
        <v>9</v>
      </c>
      <c r="N36" s="13" t="s">
        <v>17</v>
      </c>
      <c r="O36" s="6">
        <v>17</v>
      </c>
      <c r="P36" s="6">
        <v>17</v>
      </c>
      <c r="Q36" s="14">
        <f t="shared" si="6"/>
        <v>100</v>
      </c>
      <c r="R36" s="10"/>
      <c r="S36" s="10"/>
      <c r="T36" s="10"/>
      <c r="U36" s="10"/>
      <c r="V36" s="10"/>
      <c r="W36" s="10"/>
      <c r="X36" s="10"/>
      <c r="Y36" s="10"/>
    </row>
    <row r="37" spans="1:25" ht="17.399999999999999" x14ac:dyDescent="0.3">
      <c r="A37" s="12">
        <v>10</v>
      </c>
      <c r="B37" s="13" t="s">
        <v>19</v>
      </c>
      <c r="C37" s="6">
        <v>23</v>
      </c>
      <c r="D37" s="6">
        <v>19</v>
      </c>
      <c r="E37" s="14">
        <f t="shared" si="4"/>
        <v>82.608695652173907</v>
      </c>
      <c r="F37" s="10"/>
      <c r="G37" s="12">
        <v>10</v>
      </c>
      <c r="H37" s="13" t="s">
        <v>19</v>
      </c>
      <c r="I37" s="6">
        <v>26</v>
      </c>
      <c r="J37" s="6">
        <v>24</v>
      </c>
      <c r="K37" s="14">
        <f t="shared" ref="K37:K44" si="7">J37*100/26</f>
        <v>92.307692307692307</v>
      </c>
      <c r="L37" s="10"/>
      <c r="M37" s="12">
        <v>10</v>
      </c>
      <c r="N37" s="13" t="s">
        <v>19</v>
      </c>
      <c r="O37" s="6">
        <v>13</v>
      </c>
      <c r="P37" s="6">
        <v>12</v>
      </c>
      <c r="Q37" s="14">
        <f t="shared" ref="Q37:Q44" si="8">P37*100/13</f>
        <v>92.307692307692307</v>
      </c>
      <c r="R37" s="10"/>
      <c r="S37" s="10"/>
      <c r="T37" s="10"/>
      <c r="U37" s="10"/>
      <c r="V37" s="10"/>
      <c r="W37" s="10"/>
      <c r="X37" s="10"/>
      <c r="Y37" s="10"/>
    </row>
    <row r="38" spans="1:25" ht="17.399999999999999" x14ac:dyDescent="0.3">
      <c r="A38" s="12">
        <v>11</v>
      </c>
      <c r="B38" s="13" t="s">
        <v>20</v>
      </c>
      <c r="C38" s="6">
        <v>23</v>
      </c>
      <c r="D38" s="6">
        <v>13</v>
      </c>
      <c r="E38" s="14">
        <f t="shared" si="4"/>
        <v>56.521739130434781</v>
      </c>
      <c r="F38" s="10"/>
      <c r="G38" s="12">
        <v>11</v>
      </c>
      <c r="H38" s="13" t="s">
        <v>20</v>
      </c>
      <c r="I38" s="6">
        <v>26</v>
      </c>
      <c r="J38" s="6">
        <v>22</v>
      </c>
      <c r="K38" s="14">
        <f t="shared" si="7"/>
        <v>84.615384615384613</v>
      </c>
      <c r="L38" s="10"/>
      <c r="M38" s="12">
        <v>11</v>
      </c>
      <c r="N38" s="13" t="s">
        <v>20</v>
      </c>
      <c r="O38" s="6">
        <v>13</v>
      </c>
      <c r="P38" s="6">
        <v>9</v>
      </c>
      <c r="Q38" s="14">
        <f t="shared" si="8"/>
        <v>69.230769230769226</v>
      </c>
      <c r="R38" s="10"/>
      <c r="S38" s="10"/>
      <c r="T38" s="10"/>
      <c r="U38" s="10"/>
      <c r="V38" s="10"/>
      <c r="W38" s="10"/>
      <c r="X38" s="10"/>
      <c r="Y38" s="10"/>
    </row>
    <row r="39" spans="1:25" ht="17.399999999999999" x14ac:dyDescent="0.3">
      <c r="A39" s="12">
        <v>12</v>
      </c>
      <c r="B39" s="13" t="s">
        <v>21</v>
      </c>
      <c r="C39" s="6">
        <v>23</v>
      </c>
      <c r="D39" s="6">
        <v>23</v>
      </c>
      <c r="E39" s="14">
        <f t="shared" si="4"/>
        <v>100</v>
      </c>
      <c r="F39" s="10"/>
      <c r="G39" s="12">
        <v>12</v>
      </c>
      <c r="H39" s="13" t="s">
        <v>21</v>
      </c>
      <c r="I39" s="6">
        <v>26</v>
      </c>
      <c r="J39" s="6">
        <v>26</v>
      </c>
      <c r="K39" s="14">
        <f t="shared" si="7"/>
        <v>100</v>
      </c>
      <c r="L39" s="10"/>
      <c r="M39" s="12">
        <v>12</v>
      </c>
      <c r="N39" s="13" t="s">
        <v>21</v>
      </c>
      <c r="O39" s="6">
        <v>13</v>
      </c>
      <c r="P39" s="6">
        <v>13</v>
      </c>
      <c r="Q39" s="14">
        <f t="shared" si="8"/>
        <v>100</v>
      </c>
      <c r="R39" s="10"/>
      <c r="S39" s="10"/>
      <c r="T39" s="10"/>
      <c r="U39" s="10"/>
      <c r="V39" s="10"/>
      <c r="W39" s="10"/>
      <c r="X39" s="10"/>
      <c r="Y39" s="10"/>
    </row>
    <row r="40" spans="1:25" ht="34.799999999999997" x14ac:dyDescent="0.3">
      <c r="A40" s="12">
        <v>13</v>
      </c>
      <c r="B40" s="13" t="s">
        <v>22</v>
      </c>
      <c r="C40" s="6">
        <v>23</v>
      </c>
      <c r="D40" s="6">
        <v>22</v>
      </c>
      <c r="E40" s="14">
        <f t="shared" si="4"/>
        <v>95.652173913043484</v>
      </c>
      <c r="F40" s="10"/>
      <c r="G40" s="12">
        <v>13</v>
      </c>
      <c r="H40" s="13" t="s">
        <v>22</v>
      </c>
      <c r="I40" s="6">
        <v>26</v>
      </c>
      <c r="J40" s="6">
        <v>24</v>
      </c>
      <c r="K40" s="14">
        <f t="shared" si="7"/>
        <v>92.307692307692307</v>
      </c>
      <c r="L40" s="10"/>
      <c r="M40" s="12">
        <v>13</v>
      </c>
      <c r="N40" s="13" t="s">
        <v>22</v>
      </c>
      <c r="O40" s="6">
        <v>13</v>
      </c>
      <c r="P40" s="6">
        <v>12</v>
      </c>
      <c r="Q40" s="14">
        <f t="shared" si="8"/>
        <v>92.307692307692307</v>
      </c>
      <c r="R40" s="10"/>
      <c r="S40" s="10"/>
      <c r="T40" s="10"/>
      <c r="U40" s="10"/>
      <c r="V40" s="10"/>
      <c r="W40" s="10"/>
      <c r="X40" s="10"/>
      <c r="Y40" s="10"/>
    </row>
    <row r="41" spans="1:25" ht="17.399999999999999" x14ac:dyDescent="0.3">
      <c r="A41" s="12">
        <v>14</v>
      </c>
      <c r="B41" s="13" t="s">
        <v>23</v>
      </c>
      <c r="C41" s="6">
        <v>23</v>
      </c>
      <c r="D41" s="6">
        <v>22</v>
      </c>
      <c r="E41" s="14">
        <f t="shared" si="4"/>
        <v>95.652173913043484</v>
      </c>
      <c r="F41" s="10"/>
      <c r="G41" s="12">
        <v>14</v>
      </c>
      <c r="H41" s="13" t="s">
        <v>23</v>
      </c>
      <c r="I41" s="6">
        <v>26</v>
      </c>
      <c r="J41" s="6">
        <v>26</v>
      </c>
      <c r="K41" s="14">
        <f t="shared" si="7"/>
        <v>100</v>
      </c>
      <c r="L41" s="10"/>
      <c r="M41" s="12">
        <v>14</v>
      </c>
      <c r="N41" s="13" t="s">
        <v>23</v>
      </c>
      <c r="O41" s="6">
        <v>13</v>
      </c>
      <c r="P41" s="6">
        <v>13</v>
      </c>
      <c r="Q41" s="14">
        <f t="shared" si="8"/>
        <v>100</v>
      </c>
      <c r="R41" s="10"/>
      <c r="S41" s="10"/>
      <c r="T41" s="10"/>
      <c r="U41" s="10"/>
      <c r="V41" s="10"/>
      <c r="W41" s="10"/>
      <c r="X41" s="10"/>
      <c r="Y41" s="10"/>
    </row>
    <row r="42" spans="1:25" ht="17.399999999999999" x14ac:dyDescent="0.3">
      <c r="A42" s="12">
        <v>15</v>
      </c>
      <c r="B42" s="13" t="s">
        <v>24</v>
      </c>
      <c r="C42" s="6">
        <v>23</v>
      </c>
      <c r="D42" s="6">
        <v>21</v>
      </c>
      <c r="E42" s="14">
        <f t="shared" si="4"/>
        <v>91.304347826086953</v>
      </c>
      <c r="F42" s="10"/>
      <c r="G42" s="12">
        <v>15</v>
      </c>
      <c r="H42" s="13" t="s">
        <v>24</v>
      </c>
      <c r="I42" s="6">
        <v>26</v>
      </c>
      <c r="J42" s="6">
        <v>24</v>
      </c>
      <c r="K42" s="14">
        <f t="shared" si="7"/>
        <v>92.307692307692307</v>
      </c>
      <c r="L42" s="10"/>
      <c r="M42" s="12">
        <v>15</v>
      </c>
      <c r="N42" s="13" t="s">
        <v>24</v>
      </c>
      <c r="O42" s="6">
        <v>13</v>
      </c>
      <c r="P42" s="6">
        <v>13</v>
      </c>
      <c r="Q42" s="14">
        <f t="shared" si="8"/>
        <v>100</v>
      </c>
      <c r="R42" s="10"/>
      <c r="S42" s="10"/>
      <c r="T42" s="10"/>
      <c r="U42" s="10"/>
      <c r="V42" s="10"/>
      <c r="W42" s="10"/>
      <c r="X42" s="10"/>
      <c r="Y42" s="10"/>
    </row>
    <row r="43" spans="1:25" ht="17.399999999999999" x14ac:dyDescent="0.3">
      <c r="A43" s="12">
        <v>16</v>
      </c>
      <c r="B43" s="13" t="s">
        <v>25</v>
      </c>
      <c r="C43" s="6">
        <v>23</v>
      </c>
      <c r="D43" s="6">
        <v>20</v>
      </c>
      <c r="E43" s="14">
        <f t="shared" si="4"/>
        <v>86.956521739130437</v>
      </c>
      <c r="F43" s="10"/>
      <c r="G43" s="12">
        <v>16</v>
      </c>
      <c r="H43" s="13" t="s">
        <v>25</v>
      </c>
      <c r="I43" s="6">
        <v>26</v>
      </c>
      <c r="J43" s="6">
        <v>25</v>
      </c>
      <c r="K43" s="14">
        <f t="shared" si="7"/>
        <v>96.15384615384616</v>
      </c>
      <c r="L43" s="10"/>
      <c r="M43" s="12">
        <v>16</v>
      </c>
      <c r="N43" s="13" t="s">
        <v>25</v>
      </c>
      <c r="O43" s="6">
        <v>13</v>
      </c>
      <c r="P43" s="6">
        <v>13</v>
      </c>
      <c r="Q43" s="14">
        <f t="shared" si="8"/>
        <v>100</v>
      </c>
      <c r="R43" s="10"/>
      <c r="S43" s="10"/>
      <c r="T43" s="10"/>
      <c r="U43" s="10"/>
      <c r="V43" s="10"/>
      <c r="W43" s="10"/>
      <c r="X43" s="10"/>
      <c r="Y43" s="10"/>
    </row>
    <row r="44" spans="1:25" ht="17.399999999999999" x14ac:dyDescent="0.3">
      <c r="A44" s="12">
        <v>17</v>
      </c>
      <c r="B44" s="13" t="s">
        <v>26</v>
      </c>
      <c r="C44" s="6">
        <v>23</v>
      </c>
      <c r="D44" s="6">
        <v>23</v>
      </c>
      <c r="E44" s="14">
        <f t="shared" si="4"/>
        <v>100</v>
      </c>
      <c r="F44" s="10"/>
      <c r="G44" s="12">
        <v>17</v>
      </c>
      <c r="H44" s="13" t="s">
        <v>26</v>
      </c>
      <c r="I44" s="6">
        <v>26</v>
      </c>
      <c r="J44" s="6">
        <v>26</v>
      </c>
      <c r="K44" s="14">
        <f t="shared" si="7"/>
        <v>100</v>
      </c>
      <c r="L44" s="10"/>
      <c r="M44" s="12">
        <v>17</v>
      </c>
      <c r="N44" s="13" t="s">
        <v>26</v>
      </c>
      <c r="O44" s="6">
        <v>13</v>
      </c>
      <c r="P44" s="6">
        <v>13</v>
      </c>
      <c r="Q44" s="14">
        <f t="shared" si="8"/>
        <v>100</v>
      </c>
      <c r="R44" s="10"/>
      <c r="S44" s="10"/>
      <c r="T44" s="10"/>
      <c r="U44" s="10"/>
      <c r="V44" s="10"/>
      <c r="W44" s="10"/>
      <c r="X44" s="10"/>
      <c r="Y44" s="10"/>
    </row>
    <row r="45" spans="1:25" x14ac:dyDescent="0.35">
      <c r="A45" s="15"/>
      <c r="B45" s="15"/>
      <c r="C45" s="10"/>
      <c r="D45" s="10"/>
      <c r="E45" s="10"/>
      <c r="F45" s="10"/>
      <c r="G45" s="10"/>
      <c r="H45" s="10"/>
      <c r="I45" s="10"/>
      <c r="J45" s="10"/>
      <c r="K45" s="10"/>
      <c r="L45" s="10"/>
      <c r="R45" s="10"/>
      <c r="S45" s="10"/>
      <c r="T45" s="10"/>
      <c r="U45" s="10"/>
      <c r="V45" s="10"/>
      <c r="W45" s="10"/>
      <c r="X45" s="10"/>
      <c r="Y45" s="10"/>
    </row>
    <row r="46" spans="1:25" ht="25.8" x14ac:dyDescent="0.3">
      <c r="A46" s="1" t="s">
        <v>0</v>
      </c>
      <c r="B46" s="1"/>
      <c r="C46" s="1"/>
      <c r="D46" s="1"/>
      <c r="E46" s="1"/>
      <c r="F46" s="10"/>
      <c r="G46" s="1" t="s">
        <v>0</v>
      </c>
      <c r="H46" s="1"/>
      <c r="I46" s="1"/>
      <c r="J46" s="1"/>
      <c r="K46" s="1"/>
      <c r="L46" s="10"/>
      <c r="R46" s="10"/>
      <c r="S46" s="10"/>
      <c r="T46" s="10"/>
      <c r="U46" s="10"/>
      <c r="V46" s="10"/>
      <c r="W46" s="10"/>
      <c r="X46" s="10"/>
      <c r="Y46" s="10"/>
    </row>
    <row r="47" spans="1:25" ht="25.8" x14ac:dyDescent="0.3">
      <c r="A47" s="1" t="s">
        <v>1</v>
      </c>
      <c r="B47" s="1"/>
      <c r="C47" s="1"/>
      <c r="D47" s="1"/>
      <c r="E47" s="1"/>
      <c r="F47" s="10"/>
      <c r="G47" s="1" t="s">
        <v>1</v>
      </c>
      <c r="H47" s="1"/>
      <c r="I47" s="1"/>
      <c r="J47" s="1"/>
      <c r="K47" s="1"/>
      <c r="L47" s="10"/>
      <c r="R47" s="10"/>
      <c r="S47" s="10"/>
      <c r="T47" s="10"/>
      <c r="U47" s="10"/>
      <c r="V47" s="10"/>
      <c r="W47" s="10"/>
      <c r="X47" s="10"/>
      <c r="Y47" s="10"/>
    </row>
    <row r="48" spans="1:25" ht="25.8" x14ac:dyDescent="0.3">
      <c r="A48" s="11"/>
      <c r="B48" s="2" t="s">
        <v>30</v>
      </c>
      <c r="C48" s="3"/>
      <c r="D48" s="3"/>
      <c r="E48" s="4"/>
      <c r="F48" s="10"/>
      <c r="G48" s="11"/>
      <c r="H48" s="2" t="s">
        <v>31</v>
      </c>
      <c r="I48" s="3"/>
      <c r="J48" s="3"/>
      <c r="K48" s="4"/>
      <c r="L48" s="10"/>
      <c r="R48" s="10"/>
      <c r="S48" s="10"/>
      <c r="T48" s="10"/>
      <c r="U48" s="10"/>
      <c r="V48" s="10"/>
      <c r="W48" s="10"/>
      <c r="X48" s="10"/>
      <c r="Y48" s="10"/>
    </row>
    <row r="49" spans="1:25" ht="31.2" x14ac:dyDescent="0.3">
      <c r="A49" s="5"/>
      <c r="B49" s="6" t="s">
        <v>5</v>
      </c>
      <c r="C49" s="5" t="s">
        <v>6</v>
      </c>
      <c r="D49" s="5" t="s">
        <v>7</v>
      </c>
      <c r="E49" s="6" t="s">
        <v>8</v>
      </c>
      <c r="F49" s="10"/>
      <c r="G49" s="5"/>
      <c r="H49" s="6" t="s">
        <v>5</v>
      </c>
      <c r="I49" s="5" t="s">
        <v>6</v>
      </c>
      <c r="J49" s="5" t="s">
        <v>7</v>
      </c>
      <c r="K49" s="6" t="s">
        <v>8</v>
      </c>
      <c r="L49" s="10"/>
      <c r="R49" s="10"/>
      <c r="S49" s="10"/>
      <c r="T49" s="10"/>
      <c r="U49" s="10"/>
      <c r="V49" s="10"/>
      <c r="W49" s="10"/>
      <c r="X49" s="10"/>
      <c r="Y49" s="10"/>
    </row>
    <row r="50" spans="1:25" ht="17.399999999999999" x14ac:dyDescent="0.3">
      <c r="A50" s="12">
        <v>1</v>
      </c>
      <c r="B50" s="13" t="s">
        <v>9</v>
      </c>
      <c r="C50" s="6">
        <v>27</v>
      </c>
      <c r="D50" s="6">
        <v>27</v>
      </c>
      <c r="E50" s="14">
        <f>D50*100/27</f>
        <v>100</v>
      </c>
      <c r="F50" s="10"/>
      <c r="G50" s="12">
        <v>1</v>
      </c>
      <c r="H50" s="13" t="s">
        <v>9</v>
      </c>
      <c r="I50" s="6">
        <v>24</v>
      </c>
      <c r="J50" s="6">
        <v>23</v>
      </c>
      <c r="K50" s="14">
        <f>J50*100/24</f>
        <v>95.833333333333329</v>
      </c>
      <c r="L50" s="10"/>
      <c r="R50" s="10"/>
      <c r="S50" s="10"/>
      <c r="T50" s="10"/>
      <c r="U50" s="10"/>
      <c r="V50" s="10"/>
      <c r="W50" s="10"/>
      <c r="X50" s="10"/>
      <c r="Y50" s="10"/>
    </row>
    <row r="51" spans="1:25" ht="17.399999999999999" x14ac:dyDescent="0.3">
      <c r="A51" s="12">
        <v>2</v>
      </c>
      <c r="B51" s="13" t="s">
        <v>10</v>
      </c>
      <c r="C51" s="6">
        <v>27</v>
      </c>
      <c r="D51" s="6">
        <v>27</v>
      </c>
      <c r="E51" s="14">
        <f>D51*100/27</f>
        <v>100</v>
      </c>
      <c r="F51" s="10"/>
      <c r="G51" s="12">
        <v>2</v>
      </c>
      <c r="H51" s="13" t="s">
        <v>10</v>
      </c>
      <c r="I51" s="6">
        <v>24</v>
      </c>
      <c r="J51" s="6">
        <v>24</v>
      </c>
      <c r="K51" s="14">
        <f t="shared" ref="K51:K58" si="9">J51*100/24</f>
        <v>100</v>
      </c>
      <c r="L51" s="10"/>
      <c r="R51" s="10"/>
      <c r="S51" s="10"/>
      <c r="T51" s="10"/>
      <c r="U51" s="10"/>
      <c r="V51" s="10"/>
      <c r="W51" s="10"/>
      <c r="X51" s="10"/>
      <c r="Y51" s="10"/>
    </row>
    <row r="52" spans="1:25" ht="17.399999999999999" x14ac:dyDescent="0.3">
      <c r="A52" s="12">
        <v>3</v>
      </c>
      <c r="B52" s="13" t="s">
        <v>11</v>
      </c>
      <c r="C52" s="6">
        <v>27</v>
      </c>
      <c r="D52" s="6">
        <v>27</v>
      </c>
      <c r="E52" s="14">
        <f t="shared" ref="E52:E66" si="10">D52*100/27</f>
        <v>100</v>
      </c>
      <c r="F52" s="10"/>
      <c r="G52" s="12">
        <v>3</v>
      </c>
      <c r="H52" s="13" t="s">
        <v>11</v>
      </c>
      <c r="I52" s="6">
        <v>24</v>
      </c>
      <c r="J52" s="6">
        <v>24</v>
      </c>
      <c r="K52" s="14">
        <f t="shared" si="9"/>
        <v>100</v>
      </c>
      <c r="L52" s="10"/>
      <c r="R52" s="10"/>
      <c r="S52" s="10"/>
      <c r="T52" s="10"/>
      <c r="U52" s="10"/>
      <c r="V52" s="10"/>
      <c r="W52" s="10"/>
      <c r="X52" s="10"/>
      <c r="Y52" s="10"/>
    </row>
    <row r="53" spans="1:25" ht="17.399999999999999" x14ac:dyDescent="0.3">
      <c r="A53" s="12">
        <v>4</v>
      </c>
      <c r="B53" s="13" t="s">
        <v>12</v>
      </c>
      <c r="C53" s="6">
        <v>27</v>
      </c>
      <c r="D53" s="6">
        <v>22</v>
      </c>
      <c r="E53" s="14">
        <f t="shared" si="10"/>
        <v>81.481481481481481</v>
      </c>
      <c r="F53" s="10"/>
      <c r="G53" s="12">
        <v>4</v>
      </c>
      <c r="H53" s="13" t="s">
        <v>12</v>
      </c>
      <c r="I53" s="6">
        <v>24</v>
      </c>
      <c r="J53" s="6">
        <v>24</v>
      </c>
      <c r="K53" s="14">
        <f>J53*100/24</f>
        <v>100</v>
      </c>
      <c r="L53" s="10"/>
      <c r="R53" s="10"/>
      <c r="S53" s="10"/>
      <c r="T53" s="10"/>
      <c r="U53" s="10"/>
      <c r="V53" s="10"/>
      <c r="W53" s="10"/>
      <c r="X53" s="10"/>
      <c r="Y53" s="10"/>
    </row>
    <row r="54" spans="1:25" ht="17.399999999999999" x14ac:dyDescent="0.3">
      <c r="A54" s="12">
        <v>5</v>
      </c>
      <c r="B54" s="13" t="s">
        <v>13</v>
      </c>
      <c r="C54" s="6">
        <v>27</v>
      </c>
      <c r="D54" s="6">
        <v>27</v>
      </c>
      <c r="E54" s="14">
        <f t="shared" si="10"/>
        <v>100</v>
      </c>
      <c r="F54" s="10"/>
      <c r="G54" s="12">
        <v>5</v>
      </c>
      <c r="H54" s="13" t="s">
        <v>13</v>
      </c>
      <c r="I54" s="6">
        <v>24</v>
      </c>
      <c r="J54" s="6">
        <v>24</v>
      </c>
      <c r="K54" s="14">
        <f t="shared" si="9"/>
        <v>100</v>
      </c>
      <c r="L54" s="10"/>
      <c r="R54" s="10"/>
      <c r="S54" s="10"/>
      <c r="T54" s="10"/>
      <c r="U54" s="10"/>
      <c r="V54" s="10"/>
      <c r="W54" s="10"/>
      <c r="X54" s="10"/>
      <c r="Y54" s="10"/>
    </row>
    <row r="55" spans="1:25" ht="17.399999999999999" x14ac:dyDescent="0.3">
      <c r="A55" s="12">
        <v>6</v>
      </c>
      <c r="B55" s="13" t="s">
        <v>14</v>
      </c>
      <c r="C55" s="6">
        <v>27</v>
      </c>
      <c r="D55" s="6">
        <v>27</v>
      </c>
      <c r="E55" s="14">
        <f t="shared" si="10"/>
        <v>100</v>
      </c>
      <c r="F55" s="10"/>
      <c r="G55" s="12">
        <v>6</v>
      </c>
      <c r="H55" s="13" t="s">
        <v>14</v>
      </c>
      <c r="I55" s="6">
        <v>24</v>
      </c>
      <c r="J55" s="6">
        <v>24</v>
      </c>
      <c r="K55" s="14">
        <f t="shared" si="9"/>
        <v>100</v>
      </c>
      <c r="L55" s="10"/>
      <c r="R55" s="10"/>
      <c r="S55" s="10"/>
      <c r="T55" s="10"/>
      <c r="U55" s="10"/>
      <c r="V55" s="10"/>
      <c r="W55" s="10"/>
      <c r="X55" s="10"/>
      <c r="Y55" s="10"/>
    </row>
    <row r="56" spans="1:25" ht="17.399999999999999" x14ac:dyDescent="0.3">
      <c r="A56" s="12">
        <v>7</v>
      </c>
      <c r="B56" s="13" t="s">
        <v>15</v>
      </c>
      <c r="C56" s="6">
        <v>27</v>
      </c>
      <c r="D56" s="6">
        <v>27</v>
      </c>
      <c r="E56" s="14">
        <f t="shared" si="10"/>
        <v>100</v>
      </c>
      <c r="F56" s="10"/>
      <c r="G56" s="12">
        <v>7</v>
      </c>
      <c r="H56" s="13" t="s">
        <v>15</v>
      </c>
      <c r="I56" s="6">
        <v>24</v>
      </c>
      <c r="J56" s="6">
        <v>24</v>
      </c>
      <c r="K56" s="14">
        <f t="shared" si="9"/>
        <v>100</v>
      </c>
      <c r="L56" s="10"/>
      <c r="R56" s="10"/>
      <c r="S56" s="10"/>
      <c r="T56" s="10"/>
      <c r="U56" s="10"/>
      <c r="V56" s="10"/>
      <c r="W56" s="10"/>
      <c r="X56" s="10"/>
      <c r="Y56" s="10"/>
    </row>
    <row r="57" spans="1:25" ht="17.399999999999999" x14ac:dyDescent="0.3">
      <c r="A57" s="12">
        <v>8</v>
      </c>
      <c r="B57" s="13" t="s">
        <v>16</v>
      </c>
      <c r="C57" s="6">
        <v>27</v>
      </c>
      <c r="D57" s="6">
        <v>27</v>
      </c>
      <c r="E57" s="14">
        <f t="shared" si="10"/>
        <v>100</v>
      </c>
      <c r="F57" s="10"/>
      <c r="G57" s="12">
        <v>8</v>
      </c>
      <c r="H57" s="13" t="s">
        <v>16</v>
      </c>
      <c r="I57" s="6">
        <v>24</v>
      </c>
      <c r="J57" s="6">
        <v>24</v>
      </c>
      <c r="K57" s="14">
        <f t="shared" si="9"/>
        <v>100</v>
      </c>
      <c r="L57" s="10"/>
      <c r="R57" s="10"/>
      <c r="S57" s="10"/>
      <c r="T57" s="10"/>
      <c r="U57" s="10"/>
      <c r="V57" s="10"/>
      <c r="W57" s="10"/>
      <c r="X57" s="10"/>
      <c r="Y57" s="10"/>
    </row>
    <row r="58" spans="1:25" ht="17.399999999999999" x14ac:dyDescent="0.3">
      <c r="A58" s="12">
        <v>9</v>
      </c>
      <c r="B58" s="13" t="s">
        <v>17</v>
      </c>
      <c r="C58" s="6">
        <v>27</v>
      </c>
      <c r="D58" s="6">
        <v>27</v>
      </c>
      <c r="E58" s="14">
        <f t="shared" si="10"/>
        <v>100</v>
      </c>
      <c r="F58" s="10"/>
      <c r="G58" s="12">
        <v>9</v>
      </c>
      <c r="H58" s="13" t="s">
        <v>17</v>
      </c>
      <c r="I58" s="6">
        <v>24</v>
      </c>
      <c r="J58" s="6">
        <v>24</v>
      </c>
      <c r="K58" s="14">
        <f t="shared" si="9"/>
        <v>100</v>
      </c>
      <c r="L58" s="10"/>
      <c r="R58" s="10"/>
      <c r="S58" s="10"/>
      <c r="T58" s="10"/>
      <c r="U58" s="10"/>
      <c r="V58" s="10"/>
      <c r="W58" s="10"/>
      <c r="X58" s="10"/>
      <c r="Y58" s="10"/>
    </row>
    <row r="59" spans="1:25" ht="17.399999999999999" x14ac:dyDescent="0.3">
      <c r="A59" s="12">
        <v>10</v>
      </c>
      <c r="B59" s="13" t="s">
        <v>19</v>
      </c>
      <c r="C59" s="6">
        <v>27</v>
      </c>
      <c r="D59" s="6">
        <v>27</v>
      </c>
      <c r="E59" s="14">
        <f t="shared" si="10"/>
        <v>100</v>
      </c>
      <c r="F59" s="10"/>
      <c r="G59" s="12">
        <v>10</v>
      </c>
      <c r="H59" s="13" t="s">
        <v>19</v>
      </c>
      <c r="I59" s="6">
        <v>26</v>
      </c>
      <c r="J59" s="6">
        <v>26</v>
      </c>
      <c r="K59" s="14">
        <f>J59*100/26</f>
        <v>100</v>
      </c>
      <c r="L59" s="10"/>
      <c r="R59" s="10"/>
      <c r="S59" s="10"/>
      <c r="T59" s="10"/>
      <c r="U59" s="10"/>
      <c r="V59" s="10"/>
      <c r="W59" s="10"/>
      <c r="X59" s="10"/>
      <c r="Y59" s="10"/>
    </row>
    <row r="60" spans="1:25" ht="17.399999999999999" x14ac:dyDescent="0.3">
      <c r="A60" s="12">
        <v>11</v>
      </c>
      <c r="B60" s="13" t="s">
        <v>20</v>
      </c>
      <c r="C60" s="6">
        <v>27</v>
      </c>
      <c r="D60" s="6">
        <v>27</v>
      </c>
      <c r="E60" s="14">
        <f t="shared" si="10"/>
        <v>100</v>
      </c>
      <c r="F60" s="10"/>
      <c r="G60" s="12">
        <v>11</v>
      </c>
      <c r="H60" s="13" t="s">
        <v>20</v>
      </c>
      <c r="I60" s="6">
        <v>26</v>
      </c>
      <c r="J60" s="6">
        <v>26</v>
      </c>
      <c r="K60" s="14">
        <f t="shared" ref="K60:K66" si="11">J60*100/26</f>
        <v>100</v>
      </c>
      <c r="L60" s="10"/>
      <c r="R60" s="10"/>
      <c r="S60" s="10"/>
      <c r="T60" s="10"/>
      <c r="U60" s="10"/>
      <c r="V60" s="10"/>
      <c r="W60" s="10"/>
      <c r="X60" s="10"/>
      <c r="Y60" s="10"/>
    </row>
    <row r="61" spans="1:25" ht="17.399999999999999" x14ac:dyDescent="0.3">
      <c r="A61" s="12">
        <v>12</v>
      </c>
      <c r="B61" s="13" t="s">
        <v>21</v>
      </c>
      <c r="C61" s="6">
        <v>27</v>
      </c>
      <c r="D61" s="6">
        <v>27</v>
      </c>
      <c r="E61" s="14">
        <f t="shared" si="10"/>
        <v>100</v>
      </c>
      <c r="F61" s="10"/>
      <c r="G61" s="12">
        <v>12</v>
      </c>
      <c r="H61" s="13" t="s">
        <v>21</v>
      </c>
      <c r="I61" s="6">
        <v>26</v>
      </c>
      <c r="J61" s="6">
        <v>26</v>
      </c>
      <c r="K61" s="14">
        <f t="shared" si="11"/>
        <v>100</v>
      </c>
      <c r="L61" s="10"/>
    </row>
    <row r="62" spans="1:25" ht="28.8" customHeight="1" x14ac:dyDescent="0.3">
      <c r="A62" s="12">
        <v>13</v>
      </c>
      <c r="B62" s="13" t="s">
        <v>22</v>
      </c>
      <c r="C62" s="6">
        <v>27</v>
      </c>
      <c r="D62" s="6">
        <v>27</v>
      </c>
      <c r="E62" s="14">
        <f t="shared" si="10"/>
        <v>100</v>
      </c>
      <c r="F62" s="10"/>
      <c r="G62" s="12">
        <v>13</v>
      </c>
      <c r="H62" s="13" t="s">
        <v>22</v>
      </c>
      <c r="I62" s="6">
        <v>26</v>
      </c>
      <c r="J62" s="6">
        <v>26</v>
      </c>
      <c r="K62" s="14">
        <f t="shared" si="11"/>
        <v>100</v>
      </c>
      <c r="L62" s="10"/>
    </row>
    <row r="63" spans="1:25" ht="17.399999999999999" x14ac:dyDescent="0.3">
      <c r="A63" s="12">
        <v>14</v>
      </c>
      <c r="B63" s="13" t="s">
        <v>23</v>
      </c>
      <c r="C63" s="6">
        <v>27</v>
      </c>
      <c r="D63" s="6">
        <v>27</v>
      </c>
      <c r="E63" s="14">
        <f t="shared" si="10"/>
        <v>100</v>
      </c>
      <c r="F63" s="10"/>
      <c r="G63" s="12">
        <v>14</v>
      </c>
      <c r="H63" s="13" t="s">
        <v>23</v>
      </c>
      <c r="I63" s="6">
        <v>26</v>
      </c>
      <c r="J63" s="6">
        <v>26</v>
      </c>
      <c r="K63" s="14">
        <f t="shared" si="11"/>
        <v>100</v>
      </c>
      <c r="L63" s="10"/>
    </row>
    <row r="64" spans="1:25" ht="17.399999999999999" x14ac:dyDescent="0.3">
      <c r="A64" s="12">
        <v>15</v>
      </c>
      <c r="B64" s="13" t="s">
        <v>24</v>
      </c>
      <c r="C64" s="6">
        <v>27</v>
      </c>
      <c r="D64" s="6">
        <v>27</v>
      </c>
      <c r="E64" s="14">
        <f t="shared" si="10"/>
        <v>100</v>
      </c>
      <c r="F64" s="10"/>
      <c r="G64" s="12">
        <v>15</v>
      </c>
      <c r="H64" s="13" t="s">
        <v>24</v>
      </c>
      <c r="I64" s="6">
        <v>26</v>
      </c>
      <c r="J64" s="6">
        <v>26</v>
      </c>
      <c r="K64" s="14">
        <f t="shared" si="11"/>
        <v>100</v>
      </c>
      <c r="L64" s="10"/>
    </row>
    <row r="65" spans="1:12" ht="17.399999999999999" x14ac:dyDescent="0.3">
      <c r="A65" s="12">
        <v>16</v>
      </c>
      <c r="B65" s="13" t="s">
        <v>25</v>
      </c>
      <c r="C65" s="6">
        <v>27</v>
      </c>
      <c r="D65" s="6">
        <v>27</v>
      </c>
      <c r="E65" s="14">
        <f t="shared" si="10"/>
        <v>100</v>
      </c>
      <c r="F65" s="10"/>
      <c r="G65" s="12">
        <v>16</v>
      </c>
      <c r="H65" s="13" t="s">
        <v>25</v>
      </c>
      <c r="I65" s="6">
        <v>26</v>
      </c>
      <c r="J65" s="6">
        <v>26</v>
      </c>
      <c r="K65" s="14">
        <f t="shared" si="11"/>
        <v>100</v>
      </c>
      <c r="L65" s="10"/>
    </row>
    <row r="66" spans="1:12" ht="17.399999999999999" x14ac:dyDescent="0.3">
      <c r="A66" s="12">
        <v>17</v>
      </c>
      <c r="B66" s="13" t="s">
        <v>26</v>
      </c>
      <c r="C66" s="6">
        <v>27</v>
      </c>
      <c r="D66" s="6">
        <v>27</v>
      </c>
      <c r="E66" s="14">
        <f t="shared" si="10"/>
        <v>100</v>
      </c>
      <c r="F66" s="10"/>
      <c r="G66" s="12">
        <v>17</v>
      </c>
      <c r="H66" s="13" t="s">
        <v>26</v>
      </c>
      <c r="I66" s="6">
        <v>26</v>
      </c>
      <c r="J66" s="6">
        <v>26</v>
      </c>
      <c r="K66" s="14">
        <f t="shared" si="11"/>
        <v>100</v>
      </c>
      <c r="L66" s="10"/>
    </row>
    <row r="67" spans="1:12" x14ac:dyDescent="0.35">
      <c r="A67" s="15"/>
      <c r="B67" s="15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5"/>
      <c r="B68" s="15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5"/>
      <c r="B69" s="15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5"/>
      <c r="B70" s="15"/>
      <c r="C70" s="10"/>
      <c r="D70" s="10"/>
      <c r="E70" s="10"/>
      <c r="F70" s="10"/>
      <c r="G70" s="10"/>
      <c r="H70" s="10"/>
      <c r="I70" s="10"/>
      <c r="J70" s="10"/>
      <c r="K70" s="10"/>
      <c r="L70" s="10"/>
    </row>
  </sheetData>
  <mergeCells count="24">
    <mergeCell ref="A46:E46"/>
    <mergeCell ref="G46:K46"/>
    <mergeCell ref="A47:E47"/>
    <mergeCell ref="G47:K47"/>
    <mergeCell ref="B48:E48"/>
    <mergeCell ref="H48:K48"/>
    <mergeCell ref="A25:E25"/>
    <mergeCell ref="G25:K25"/>
    <mergeCell ref="M25:Q25"/>
    <mergeCell ref="B26:E26"/>
    <mergeCell ref="H26:K26"/>
    <mergeCell ref="N26:Q26"/>
    <mergeCell ref="B3:E3"/>
    <mergeCell ref="H3:K3"/>
    <mergeCell ref="N3:Q3"/>
    <mergeCell ref="A24:E24"/>
    <mergeCell ref="G24:K24"/>
    <mergeCell ref="M24:Q24"/>
    <mergeCell ref="A1:E1"/>
    <mergeCell ref="G1:K1"/>
    <mergeCell ref="M1:Q1"/>
    <mergeCell ref="A2:E2"/>
    <mergeCell ref="G2:K2"/>
    <mergeCell ref="M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TEACHING STAFFS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Sachan</dc:creator>
  <cp:lastModifiedBy>Divyanshu Sachan</cp:lastModifiedBy>
  <dcterms:created xsi:type="dcterms:W3CDTF">2026-06-01T13:08:45Z</dcterms:created>
  <dcterms:modified xsi:type="dcterms:W3CDTF">2026-06-01T13:10:13Z</dcterms:modified>
</cp:coreProperties>
</file>