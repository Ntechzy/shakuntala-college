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MS\Annexure\"/>
    </mc:Choice>
  </mc:AlternateContent>
  <xr:revisionPtr revIDLastSave="0" documentId="13_ncr:1_{CFA0AD58-6F88-4658-887F-AE32979B2EEC}" xr6:coauthVersionLast="47" xr6:coauthVersionMax="47" xr10:uidLastSave="{00000000-0000-0000-0000-000000000000}"/>
  <bookViews>
    <workbookView xWindow="-108" yWindow="-108" windowWidth="23256" windowHeight="12456" tabRatio="20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0" i="1" l="1"/>
  <c r="H10" i="1"/>
  <c r="I10" i="1" s="1"/>
  <c r="G11" i="1"/>
  <c r="H11" i="1"/>
  <c r="I11" i="1" s="1"/>
  <c r="G12" i="1"/>
  <c r="H12" i="1" s="1"/>
  <c r="I12" i="1" s="1"/>
  <c r="I9" i="1"/>
  <c r="H9" i="1"/>
  <c r="G9" i="1"/>
  <c r="E22" i="1"/>
  <c r="E23" i="1"/>
  <c r="E24" i="1"/>
  <c r="E25" i="1"/>
  <c r="H25" i="1"/>
  <c r="I25" i="1"/>
  <c r="H24" i="1"/>
  <c r="I24" i="1"/>
  <c r="H23" i="1"/>
  <c r="I23" i="1"/>
  <c r="H22" i="1"/>
  <c r="I22" i="1"/>
  <c r="E18" i="1"/>
  <c r="H18" i="1"/>
  <c r="I18" i="1"/>
  <c r="E17" i="1"/>
  <c r="H17" i="1"/>
  <c r="I17" i="1"/>
  <c r="E26" i="1"/>
  <c r="H26" i="1"/>
  <c r="I26" i="1"/>
  <c r="E31" i="1"/>
  <c r="H31" i="1"/>
  <c r="I31" i="1"/>
  <c r="E32" i="1"/>
  <c r="H32" i="1"/>
  <c r="I32" i="1"/>
  <c r="E13" i="1"/>
  <c r="H13" i="1"/>
  <c r="I13" i="1"/>
  <c r="E27" i="1"/>
  <c r="H27" i="1"/>
  <c r="I27" i="1"/>
  <c r="E28" i="1"/>
  <c r="H28" i="1"/>
  <c r="I28" i="1"/>
  <c r="E21" i="1"/>
  <c r="H21" i="1"/>
  <c r="I21" i="1"/>
  <c r="E29" i="1"/>
  <c r="H29" i="1"/>
  <c r="I29" i="1"/>
  <c r="E30" i="1"/>
  <c r="H30" i="1"/>
  <c r="I30" i="1"/>
  <c r="E16" i="1"/>
  <c r="H16" i="1"/>
  <c r="I16" i="1"/>
  <c r="E33" i="1"/>
  <c r="E15" i="1"/>
  <c r="E20" i="1"/>
  <c r="E14" i="1"/>
  <c r="E19" i="1"/>
  <c r="H33" i="1"/>
  <c r="H15" i="1"/>
  <c r="H20" i="1"/>
  <c r="H14" i="1"/>
  <c r="H19" i="1"/>
  <c r="I33" i="1"/>
  <c r="I15" i="1"/>
  <c r="I20" i="1"/>
  <c r="I14" i="1"/>
  <c r="I19" i="1"/>
</calcChain>
</file>

<file path=xl/sharedStrings.xml><?xml version="1.0" encoding="utf-8"?>
<sst xmlns="http://schemas.openxmlformats.org/spreadsheetml/2006/main" count="138" uniqueCount="96">
  <si>
    <t>Institution Id (e.g. AYU0001):</t>
  </si>
  <si>
    <t>Institution Name:</t>
  </si>
  <si>
    <t>S. No</t>
  </si>
  <si>
    <t>Name of Teacher</t>
  </si>
  <si>
    <t>Designation</t>
  </si>
  <si>
    <t>Pay Scale</t>
  </si>
  <si>
    <t>Basic Pay</t>
  </si>
  <si>
    <t>DA &amp; Other allowances</t>
  </si>
  <si>
    <t>Deduction GPF/CPF/IT</t>
  </si>
  <si>
    <t>Gross Pay</t>
  </si>
  <si>
    <t>Net Pay</t>
  </si>
  <si>
    <t>Mode of Payment</t>
  </si>
  <si>
    <t>Salary account details of employee</t>
  </si>
  <si>
    <t>Contact No.</t>
  </si>
  <si>
    <t>Email id</t>
  </si>
  <si>
    <t>AYU0728</t>
  </si>
  <si>
    <t xml:space="preserve">Prof. ANIL KUMAR TRIPATHI </t>
  </si>
  <si>
    <t>Dr. Shakuntala Ayurvedic Medical College, Nayansand, Gaurabadshahpur, Jaunpur-222133, Uttar Pradesh</t>
  </si>
  <si>
    <t>BANK</t>
  </si>
  <si>
    <t>drshivesh81@gmail.com</t>
  </si>
  <si>
    <t>Associate Professor/Reader</t>
  </si>
  <si>
    <t>Assistant Professor/Lecturer</t>
  </si>
  <si>
    <t>Dr. VIMLESH KUMAR TIWARI</t>
  </si>
  <si>
    <t>vimlesh85tiwari@gmail.com</t>
  </si>
  <si>
    <t>081701510151</t>
  </si>
  <si>
    <t>4045000102236584</t>
  </si>
  <si>
    <t>Dr. RUDRA PRATAP TIWARY</t>
  </si>
  <si>
    <t>10655097548</t>
  </si>
  <si>
    <t>Dr. SHAILESHWARI YADAV</t>
  </si>
  <si>
    <t>50100462981196</t>
  </si>
  <si>
    <t>dr.rudrabhardwaj03@gmail.com</t>
  </si>
  <si>
    <t>shaileshwariyadav93@gmail.com</t>
  </si>
  <si>
    <t xml:space="preserve">Prof. BEENA TRIPATHI </t>
  </si>
  <si>
    <t>24380100008395</t>
  </si>
  <si>
    <t>drbeenatripathi@gmail.com</t>
  </si>
  <si>
    <t>PRINCIPAL</t>
  </si>
  <si>
    <t>Dr. MOHAMMAD  ISRAIL</t>
  </si>
  <si>
    <t>50100737221259</t>
  </si>
  <si>
    <t>israilhaneef@gmail.com</t>
  </si>
  <si>
    <t>Dr. SATYA PRAKASH GUPTA</t>
  </si>
  <si>
    <t>50100679004772</t>
  </si>
  <si>
    <t>satyaprakashgupta444@gmail.com</t>
  </si>
  <si>
    <t>Dr. JITENDRA KUMAR MISHRA</t>
  </si>
  <si>
    <t>107901502781</t>
  </si>
  <si>
    <t>jayjite1882@gmail.com</t>
  </si>
  <si>
    <t>370202010309376</t>
  </si>
  <si>
    <t>bvamch009@gmail.com</t>
  </si>
  <si>
    <t>dr.gaurishankar89@gmail.com</t>
  </si>
  <si>
    <t>50100489804740</t>
  </si>
  <si>
    <t>Dr. AJAY KUMAR ANAND</t>
  </si>
  <si>
    <t>50100671811530</t>
  </si>
  <si>
    <t>drajaykumaranand0@gmail.com</t>
  </si>
  <si>
    <t>Dr. RISHI KUMAR YADAV</t>
  </si>
  <si>
    <t>rishisurya007@gmail.com</t>
  </si>
  <si>
    <t>50100256965410</t>
  </si>
  <si>
    <t>Dr. SHARAD KUMAR VISHVAKARMA</t>
  </si>
  <si>
    <t>50100450267284</t>
  </si>
  <si>
    <t>drsharadvish20@gmail.com</t>
  </si>
  <si>
    <t>Dr. GAURISHANKAR YADAV</t>
  </si>
  <si>
    <t>Dr. SARITA SATHIAN</t>
  </si>
  <si>
    <t>Dr. RAKESH KUMAR MISHRA</t>
  </si>
  <si>
    <t>saritamedhasvi@gmail.com</t>
  </si>
  <si>
    <t>02201000128268</t>
  </si>
  <si>
    <t>rakeshmishra145@gmail.com</t>
  </si>
  <si>
    <t>Professor 
(Salya Tantra)</t>
  </si>
  <si>
    <t>Dr. HARI SHANKAR MISHRA</t>
  </si>
  <si>
    <t>Professor 
Rasa Shastra &amp; Bhaisajya Kalpana</t>
  </si>
  <si>
    <t>Dr. RANJEET KUMAR</t>
  </si>
  <si>
    <t>dr.h.s.mishra07@gmail.com</t>
  </si>
  <si>
    <t>Dr. AMIT YOGENDRA YADAV</t>
  </si>
  <si>
    <t>Dr. SUNIL KUMAR GUPTA</t>
  </si>
  <si>
    <t>Dr. PRANAV PRAKASH SINGH</t>
  </si>
  <si>
    <t>Dr. RICHA SAXENA</t>
  </si>
  <si>
    <t>Dr. SUPRIYA SINGH</t>
  </si>
  <si>
    <t>Dr. VIJAYLAXMI SHYAMMANI MISHRA</t>
  </si>
  <si>
    <t>Dr. SUDHAKAR MISHRA</t>
  </si>
  <si>
    <t>ramgoday@gmail.com</t>
  </si>
  <si>
    <t>amityadavkum.311@gmail.com</t>
  </si>
  <si>
    <t>singhpranav07.2007@gmail.com</t>
  </si>
  <si>
    <t>richasaxena198810@gmail.com</t>
  </si>
  <si>
    <t>sudhakarmishra21april@gmail.com</t>
  </si>
  <si>
    <t>sgimsbhu@gmail.com</t>
  </si>
  <si>
    <t>d.supriyasingh25@gmail.com</t>
  </si>
  <si>
    <t>drvijaylaxmimishra@gmail.com</t>
  </si>
  <si>
    <t>drajayrawat0106@gmail.com</t>
  </si>
  <si>
    <t>Dr. AJAY KUMAR</t>
  </si>
  <si>
    <t>2285000100062181</t>
  </si>
  <si>
    <t>100201000058537</t>
  </si>
  <si>
    <t>1490100100009731</t>
  </si>
  <si>
    <t>Professor 
(Rachana Sharir)</t>
  </si>
  <si>
    <t>27790100017090</t>
  </si>
  <si>
    <t>50100605121751</t>
  </si>
  <si>
    <t>2285000100112000</t>
  </si>
  <si>
    <t>Mr. DAYA  SHANKAR</t>
  </si>
  <si>
    <t>Assistant Professor/Lecturer
(Sanskrit)</t>
  </si>
  <si>
    <t xml:space="preserve">
                                    PERFORMA TO FURNISH THE SALARY DETAILS OF TEACHING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</si>
</sst>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8"/>
      <color indexed="8"/>
      <name val="Verdana"/>
      <family val="2"/>
      <charset val="1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right" vertical="center" wrapText="1"/>
    </xf>
    <xf numFmtId="0" fontId="1" fillId="0" borderId="0" xfId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164" fontId="6" fillId="0" borderId="1" xfId="1" applyNumberFormat="1" applyFont="1" applyBorder="1" applyAlignment="1">
      <alignment vertical="center" wrapText="1"/>
    </xf>
    <xf numFmtId="49" fontId="6" fillId="0" borderId="1" xfId="1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Font="1" applyBorder="1" applyAlignment="1">
      <alignment horizontal="right" vertical="center" wrapText="1"/>
    </xf>
    <xf numFmtId="0" fontId="8" fillId="0" borderId="1" xfId="1" applyFont="1" applyBorder="1" applyAlignment="1">
      <alignment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0" borderId="1" xfId="1" applyFont="1" applyBorder="1" applyAlignment="1" applyProtection="1">
      <alignment horizontal="center" vertical="center" wrapText="1"/>
      <protection locked="0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33133</xdr:colOff>
      <xdr:row>0</xdr:row>
      <xdr:rowOff>44482</xdr:rowOff>
    </xdr:from>
    <xdr:to>
      <xdr:col>1</xdr:col>
      <xdr:colOff>689113</xdr:colOff>
      <xdr:row>4</xdr:row>
      <xdr:rowOff>155381</xdr:rowOff>
    </xdr:to>
    <xdr:pic>
      <xdr:nvPicPr>
        <xdr:cNvPr id="1034" name="Picture 2">
          <a:extLst>
            <a:ext uri="{FF2B5EF4-FFF2-40B4-BE49-F238E27FC236}">
              <a16:creationId xmlns:a16="http://schemas.microsoft.com/office/drawing/2014/main" id="{C0F35DB6-3A2B-7AF9-DEB2-86F385E2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33" y="44482"/>
          <a:ext cx="1000537" cy="800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="115" zoomScaleNormal="115" workbookViewId="0">
      <selection activeCell="P9" sqref="P9"/>
    </sheetView>
  </sheetViews>
  <sheetFormatPr defaultColWidth="8.77734375" defaultRowHeight="14.4" x14ac:dyDescent="0.25"/>
  <cols>
    <col min="1" max="1" width="5" style="5" customWidth="1"/>
    <col min="2" max="2" width="19.5546875" style="3" customWidth="1"/>
    <col min="3" max="3" width="16.21875" style="3" customWidth="1"/>
    <col min="4" max="5" width="9.5546875" style="3" bestFit="1" customWidth="1"/>
    <col min="6" max="7" width="8.109375" style="3" customWidth="1"/>
    <col min="8" max="9" width="9.5546875" style="3" bestFit="1" customWidth="1"/>
    <col min="10" max="10" width="8.44140625" style="5" customWidth="1"/>
    <col min="11" max="11" width="17.6640625" style="4" customWidth="1"/>
    <col min="12" max="12" width="12.44140625" style="3" bestFit="1" customWidth="1"/>
    <col min="13" max="13" width="27.33203125" style="3" customWidth="1"/>
    <col min="14" max="16384" width="8.77734375" style="3"/>
  </cols>
  <sheetData>
    <row r="1" spans="1:13" ht="13.8" customHeight="1" x14ac:dyDescent="0.25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3.8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3.8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3.8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3.8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14.55" customHeight="1" x14ac:dyDescent="0.25">
      <c r="A6" s="17" t="s">
        <v>0</v>
      </c>
      <c r="B6" s="17"/>
      <c r="C6" s="18" t="s">
        <v>15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21.6" customHeight="1" x14ac:dyDescent="0.25">
      <c r="A7" s="17" t="s">
        <v>1</v>
      </c>
      <c r="B7" s="17"/>
      <c r="C7" s="18" t="s">
        <v>17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45" customHeight="1" x14ac:dyDescent="0.25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</row>
    <row r="9" spans="1:13" ht="45" customHeight="1" x14ac:dyDescent="0.25">
      <c r="A9" s="7">
        <v>1</v>
      </c>
      <c r="B9" s="14" t="s">
        <v>32</v>
      </c>
      <c r="C9" s="6" t="s">
        <v>35</v>
      </c>
      <c r="D9" s="9">
        <v>132000</v>
      </c>
      <c r="E9" s="9">
        <v>132000</v>
      </c>
      <c r="F9" s="7">
        <v>0</v>
      </c>
      <c r="G9" s="15">
        <f>(D9*10/100)</f>
        <v>13200</v>
      </c>
      <c r="H9" s="9">
        <f>(D9-G9)</f>
        <v>118800</v>
      </c>
      <c r="I9" s="9">
        <f>H9</f>
        <v>118800</v>
      </c>
      <c r="J9" s="7" t="s">
        <v>18</v>
      </c>
      <c r="K9" s="10" t="s">
        <v>33</v>
      </c>
      <c r="L9" s="8">
        <v>7007951650</v>
      </c>
      <c r="M9" s="2" t="s">
        <v>34</v>
      </c>
    </row>
    <row r="10" spans="1:13" ht="39" customHeight="1" x14ac:dyDescent="0.25">
      <c r="A10" s="7">
        <v>2</v>
      </c>
      <c r="B10" s="14" t="s">
        <v>16</v>
      </c>
      <c r="C10" s="6" t="s">
        <v>64</v>
      </c>
      <c r="D10" s="9">
        <v>131100</v>
      </c>
      <c r="E10" s="9">
        <v>131100</v>
      </c>
      <c r="F10" s="7">
        <v>0</v>
      </c>
      <c r="G10" s="15">
        <f t="shared" ref="G10:G12" si="0">(D10*10/100)</f>
        <v>13110</v>
      </c>
      <c r="H10" s="9">
        <f t="shared" ref="H10:H12" si="1">(D10-G10)</f>
        <v>117990</v>
      </c>
      <c r="I10" s="9">
        <f t="shared" ref="I10:I12" si="2">H10</f>
        <v>117990</v>
      </c>
      <c r="J10" s="7" t="s">
        <v>18</v>
      </c>
      <c r="K10" s="10" t="s">
        <v>25</v>
      </c>
      <c r="L10" s="8">
        <v>9935568575</v>
      </c>
      <c r="M10" s="2" t="s">
        <v>19</v>
      </c>
    </row>
    <row r="11" spans="1:13" ht="39" customHeight="1" x14ac:dyDescent="0.25">
      <c r="A11" s="7">
        <v>3</v>
      </c>
      <c r="B11" s="14" t="s">
        <v>65</v>
      </c>
      <c r="C11" s="11" t="s">
        <v>89</v>
      </c>
      <c r="D11" s="9">
        <v>131500</v>
      </c>
      <c r="E11" s="9">
        <v>131500</v>
      </c>
      <c r="F11" s="7">
        <v>0</v>
      </c>
      <c r="G11" s="15">
        <f t="shared" si="0"/>
        <v>13150</v>
      </c>
      <c r="H11" s="9">
        <f t="shared" si="1"/>
        <v>118350</v>
      </c>
      <c r="I11" s="9">
        <f t="shared" si="2"/>
        <v>118350</v>
      </c>
      <c r="J11" s="7" t="s">
        <v>18</v>
      </c>
      <c r="K11" s="10" t="s">
        <v>86</v>
      </c>
      <c r="L11" s="8">
        <v>9415362536</v>
      </c>
      <c r="M11" s="2" t="s">
        <v>68</v>
      </c>
    </row>
    <row r="12" spans="1:13" ht="39" customHeight="1" x14ac:dyDescent="0.25">
      <c r="A12" s="7">
        <v>4</v>
      </c>
      <c r="B12" s="14" t="s">
        <v>67</v>
      </c>
      <c r="C12" s="11" t="s">
        <v>66</v>
      </c>
      <c r="D12" s="9">
        <v>131100</v>
      </c>
      <c r="E12" s="9">
        <v>131100</v>
      </c>
      <c r="F12" s="7">
        <v>0</v>
      </c>
      <c r="G12" s="15">
        <f t="shared" si="0"/>
        <v>13110</v>
      </c>
      <c r="H12" s="9">
        <f t="shared" si="1"/>
        <v>117990</v>
      </c>
      <c r="I12" s="9">
        <f t="shared" si="2"/>
        <v>117990</v>
      </c>
      <c r="J12" s="7" t="s">
        <v>18</v>
      </c>
      <c r="K12" s="10" t="s">
        <v>87</v>
      </c>
      <c r="L12" s="8">
        <v>9454351536</v>
      </c>
      <c r="M12" s="2" t="s">
        <v>76</v>
      </c>
    </row>
    <row r="13" spans="1:13" ht="39" customHeight="1" x14ac:dyDescent="0.25">
      <c r="A13" s="7">
        <v>5</v>
      </c>
      <c r="B13" s="14" t="s">
        <v>58</v>
      </c>
      <c r="C13" s="8" t="s">
        <v>20</v>
      </c>
      <c r="D13" s="9">
        <v>90000</v>
      </c>
      <c r="E13" s="9">
        <f>D13</f>
        <v>90000</v>
      </c>
      <c r="F13" s="7">
        <v>0</v>
      </c>
      <c r="G13" s="7">
        <v>0</v>
      </c>
      <c r="H13" s="9">
        <f>D13</f>
        <v>90000</v>
      </c>
      <c r="I13" s="9">
        <f>D13</f>
        <v>90000</v>
      </c>
      <c r="J13" s="7" t="s">
        <v>18</v>
      </c>
      <c r="K13" s="10" t="s">
        <v>48</v>
      </c>
      <c r="L13" s="8">
        <v>9919801055</v>
      </c>
      <c r="M13" s="2" t="s">
        <v>47</v>
      </c>
    </row>
    <row r="14" spans="1:13" ht="39" customHeight="1" x14ac:dyDescent="0.25">
      <c r="A14" s="7">
        <v>6</v>
      </c>
      <c r="B14" s="14" t="s">
        <v>36</v>
      </c>
      <c r="C14" s="8" t="s">
        <v>20</v>
      </c>
      <c r="D14" s="9">
        <v>80000</v>
      </c>
      <c r="E14" s="9">
        <f>D14</f>
        <v>80000</v>
      </c>
      <c r="F14" s="7">
        <v>0</v>
      </c>
      <c r="G14" s="7">
        <v>0</v>
      </c>
      <c r="H14" s="9">
        <f>D14</f>
        <v>80000</v>
      </c>
      <c r="I14" s="9">
        <f>D14</f>
        <v>80000</v>
      </c>
      <c r="J14" s="7" t="s">
        <v>18</v>
      </c>
      <c r="K14" s="10" t="s">
        <v>37</v>
      </c>
      <c r="L14" s="8">
        <v>8957897408</v>
      </c>
      <c r="M14" s="2" t="s">
        <v>38</v>
      </c>
    </row>
    <row r="15" spans="1:13" ht="39" customHeight="1" x14ac:dyDescent="0.25">
      <c r="A15" s="7">
        <v>7</v>
      </c>
      <c r="B15" s="14" t="s">
        <v>69</v>
      </c>
      <c r="C15" s="8" t="s">
        <v>20</v>
      </c>
      <c r="D15" s="9">
        <v>80000</v>
      </c>
      <c r="E15" s="9">
        <f>D15</f>
        <v>80000</v>
      </c>
      <c r="F15" s="7">
        <v>0</v>
      </c>
      <c r="G15" s="7">
        <v>0</v>
      </c>
      <c r="H15" s="9">
        <f>D15</f>
        <v>80000</v>
      </c>
      <c r="I15" s="9">
        <f>D15</f>
        <v>80000</v>
      </c>
      <c r="J15" s="7" t="s">
        <v>18</v>
      </c>
      <c r="K15" s="10" t="s">
        <v>88</v>
      </c>
      <c r="L15" s="8">
        <v>8796624824</v>
      </c>
      <c r="M15" s="2" t="s">
        <v>77</v>
      </c>
    </row>
    <row r="16" spans="1:13" ht="39" customHeight="1" x14ac:dyDescent="0.25">
      <c r="A16" s="7">
        <v>8</v>
      </c>
      <c r="B16" s="14" t="s">
        <v>39</v>
      </c>
      <c r="C16" s="8" t="s">
        <v>20</v>
      </c>
      <c r="D16" s="9">
        <v>90000</v>
      </c>
      <c r="E16" s="9">
        <f t="shared" ref="E16:E18" si="3">D16</f>
        <v>90000</v>
      </c>
      <c r="F16" s="7">
        <v>0</v>
      </c>
      <c r="G16" s="7">
        <v>0</v>
      </c>
      <c r="H16" s="9">
        <f t="shared" ref="H16:H18" si="4">D16</f>
        <v>90000</v>
      </c>
      <c r="I16" s="9">
        <f t="shared" ref="I16:I18" si="5">D16</f>
        <v>90000</v>
      </c>
      <c r="J16" s="7" t="s">
        <v>18</v>
      </c>
      <c r="K16" s="10" t="s">
        <v>40</v>
      </c>
      <c r="L16" s="8">
        <v>9335667077</v>
      </c>
      <c r="M16" s="2" t="s">
        <v>41</v>
      </c>
    </row>
    <row r="17" spans="1:13" ht="39" customHeight="1" x14ac:dyDescent="0.25">
      <c r="A17" s="7">
        <v>9</v>
      </c>
      <c r="B17" s="14" t="s">
        <v>70</v>
      </c>
      <c r="C17" s="8" t="s">
        <v>20</v>
      </c>
      <c r="D17" s="9">
        <v>90000</v>
      </c>
      <c r="E17" s="9">
        <f t="shared" si="3"/>
        <v>90000</v>
      </c>
      <c r="F17" s="7">
        <v>0</v>
      </c>
      <c r="G17" s="7">
        <v>0</v>
      </c>
      <c r="H17" s="9">
        <f t="shared" si="4"/>
        <v>90000</v>
      </c>
      <c r="I17" s="9">
        <f t="shared" si="5"/>
        <v>90000</v>
      </c>
      <c r="J17" s="7" t="s">
        <v>18</v>
      </c>
      <c r="K17" s="10" t="s">
        <v>90</v>
      </c>
      <c r="L17" s="8">
        <v>7905932591</v>
      </c>
      <c r="M17" s="2" t="s">
        <v>81</v>
      </c>
    </row>
    <row r="18" spans="1:13" ht="39" customHeight="1" x14ac:dyDescent="0.25">
      <c r="A18" s="7">
        <v>10</v>
      </c>
      <c r="B18" s="14" t="s">
        <v>71</v>
      </c>
      <c r="C18" s="8" t="s">
        <v>20</v>
      </c>
      <c r="D18" s="9">
        <v>80000</v>
      </c>
      <c r="E18" s="9">
        <f t="shared" si="3"/>
        <v>80000</v>
      </c>
      <c r="F18" s="7">
        <v>0</v>
      </c>
      <c r="G18" s="7">
        <v>0</v>
      </c>
      <c r="H18" s="9">
        <f t="shared" si="4"/>
        <v>80000</v>
      </c>
      <c r="I18" s="9">
        <f t="shared" si="5"/>
        <v>80000</v>
      </c>
      <c r="J18" s="7" t="s">
        <v>18</v>
      </c>
      <c r="K18" s="10" t="s">
        <v>91</v>
      </c>
      <c r="L18" s="8">
        <v>7007185331</v>
      </c>
      <c r="M18" s="2" t="s">
        <v>78</v>
      </c>
    </row>
    <row r="19" spans="1:13" ht="39" customHeight="1" x14ac:dyDescent="0.25">
      <c r="A19" s="7">
        <v>11</v>
      </c>
      <c r="B19" s="14" t="s">
        <v>42</v>
      </c>
      <c r="C19" s="8" t="s">
        <v>21</v>
      </c>
      <c r="D19" s="9">
        <v>70000</v>
      </c>
      <c r="E19" s="9">
        <f>D19</f>
        <v>70000</v>
      </c>
      <c r="F19" s="7">
        <v>0</v>
      </c>
      <c r="G19" s="7">
        <v>0</v>
      </c>
      <c r="H19" s="9">
        <f t="shared" ref="H19:H26" si="6">D19</f>
        <v>70000</v>
      </c>
      <c r="I19" s="9">
        <f t="shared" ref="I19:I26" si="7">D19</f>
        <v>70000</v>
      </c>
      <c r="J19" s="7" t="s">
        <v>18</v>
      </c>
      <c r="K19" s="10" t="s">
        <v>43</v>
      </c>
      <c r="L19" s="8">
        <v>8527265730</v>
      </c>
      <c r="M19" s="2" t="s">
        <v>44</v>
      </c>
    </row>
    <row r="20" spans="1:13" ht="39" customHeight="1" x14ac:dyDescent="0.25">
      <c r="A20" s="7">
        <v>12</v>
      </c>
      <c r="B20" s="14" t="s">
        <v>22</v>
      </c>
      <c r="C20" s="8" t="s">
        <v>21</v>
      </c>
      <c r="D20" s="9">
        <v>69000</v>
      </c>
      <c r="E20" s="9">
        <f>D20</f>
        <v>69000</v>
      </c>
      <c r="F20" s="7">
        <v>0</v>
      </c>
      <c r="G20" s="7">
        <v>0</v>
      </c>
      <c r="H20" s="9">
        <f t="shared" si="6"/>
        <v>69000</v>
      </c>
      <c r="I20" s="9">
        <f t="shared" si="7"/>
        <v>69000</v>
      </c>
      <c r="J20" s="7" t="s">
        <v>18</v>
      </c>
      <c r="K20" s="10" t="s">
        <v>24</v>
      </c>
      <c r="L20" s="8">
        <v>8795027775</v>
      </c>
      <c r="M20" s="2" t="s">
        <v>23</v>
      </c>
    </row>
    <row r="21" spans="1:13" ht="39" customHeight="1" x14ac:dyDescent="0.25">
      <c r="A21" s="7">
        <v>13</v>
      </c>
      <c r="B21" s="14" t="s">
        <v>26</v>
      </c>
      <c r="C21" s="8" t="s">
        <v>21</v>
      </c>
      <c r="D21" s="9">
        <v>70000</v>
      </c>
      <c r="E21" s="9">
        <f>D21</f>
        <v>70000</v>
      </c>
      <c r="F21" s="7">
        <v>0</v>
      </c>
      <c r="G21" s="7">
        <v>0</v>
      </c>
      <c r="H21" s="9">
        <f t="shared" si="6"/>
        <v>70000</v>
      </c>
      <c r="I21" s="9">
        <f t="shared" si="7"/>
        <v>70000</v>
      </c>
      <c r="J21" s="7" t="s">
        <v>18</v>
      </c>
      <c r="K21" s="10" t="s">
        <v>27</v>
      </c>
      <c r="L21" s="8">
        <v>9415390654</v>
      </c>
      <c r="M21" s="2" t="s">
        <v>30</v>
      </c>
    </row>
    <row r="22" spans="1:13" ht="39" customHeight="1" x14ac:dyDescent="0.25">
      <c r="A22" s="7">
        <v>14</v>
      </c>
      <c r="B22" s="14" t="s">
        <v>72</v>
      </c>
      <c r="C22" s="8" t="s">
        <v>21</v>
      </c>
      <c r="D22" s="9">
        <v>56100</v>
      </c>
      <c r="E22" s="9">
        <f t="shared" ref="E22:E25" si="8">D22</f>
        <v>56100</v>
      </c>
      <c r="F22" s="7">
        <v>0</v>
      </c>
      <c r="G22" s="7">
        <v>0</v>
      </c>
      <c r="H22" s="9">
        <f t="shared" si="6"/>
        <v>56100</v>
      </c>
      <c r="I22" s="9">
        <f t="shared" si="7"/>
        <v>56100</v>
      </c>
      <c r="J22" s="7" t="s">
        <v>18</v>
      </c>
      <c r="K22" s="8">
        <v>3813591952</v>
      </c>
      <c r="L22" s="8">
        <v>7317423966</v>
      </c>
      <c r="M22" s="2" t="s">
        <v>79</v>
      </c>
    </row>
    <row r="23" spans="1:13" ht="39" customHeight="1" x14ac:dyDescent="0.25">
      <c r="A23" s="7">
        <v>15</v>
      </c>
      <c r="B23" s="14" t="s">
        <v>73</v>
      </c>
      <c r="C23" s="8" t="s">
        <v>21</v>
      </c>
      <c r="D23" s="9">
        <v>56100</v>
      </c>
      <c r="E23" s="9">
        <f t="shared" si="8"/>
        <v>56100</v>
      </c>
      <c r="F23" s="7">
        <v>0</v>
      </c>
      <c r="G23" s="7">
        <v>0</v>
      </c>
      <c r="H23" s="9">
        <f t="shared" si="6"/>
        <v>56100</v>
      </c>
      <c r="I23" s="9">
        <f t="shared" si="7"/>
        <v>56100</v>
      </c>
      <c r="J23" s="7" t="s">
        <v>18</v>
      </c>
      <c r="K23" s="12">
        <v>27790100033506</v>
      </c>
      <c r="L23" s="8">
        <v>9918364449</v>
      </c>
      <c r="M23" s="2" t="s">
        <v>82</v>
      </c>
    </row>
    <row r="24" spans="1:13" ht="39" customHeight="1" x14ac:dyDescent="0.25">
      <c r="A24" s="7">
        <v>16</v>
      </c>
      <c r="B24" s="14" t="s">
        <v>74</v>
      </c>
      <c r="C24" s="8" t="s">
        <v>21</v>
      </c>
      <c r="D24" s="9">
        <v>56100</v>
      </c>
      <c r="E24" s="9">
        <f t="shared" si="8"/>
        <v>56100</v>
      </c>
      <c r="F24" s="7">
        <v>0</v>
      </c>
      <c r="G24" s="7">
        <v>0</v>
      </c>
      <c r="H24" s="9">
        <f t="shared" si="6"/>
        <v>56100</v>
      </c>
      <c r="I24" s="9">
        <f t="shared" si="7"/>
        <v>56100</v>
      </c>
      <c r="J24" s="7" t="s">
        <v>18</v>
      </c>
      <c r="K24" s="12">
        <v>27790100032969</v>
      </c>
      <c r="L24" s="8">
        <v>7521867548</v>
      </c>
      <c r="M24" s="2" t="s">
        <v>83</v>
      </c>
    </row>
    <row r="25" spans="1:13" ht="39" customHeight="1" x14ac:dyDescent="0.25">
      <c r="A25" s="7">
        <v>17</v>
      </c>
      <c r="B25" s="14" t="s">
        <v>75</v>
      </c>
      <c r="C25" s="8" t="s">
        <v>21</v>
      </c>
      <c r="D25" s="9">
        <v>56100</v>
      </c>
      <c r="E25" s="9">
        <f t="shared" si="8"/>
        <v>56100</v>
      </c>
      <c r="F25" s="7">
        <v>0</v>
      </c>
      <c r="G25" s="7">
        <v>0</v>
      </c>
      <c r="H25" s="9">
        <f t="shared" si="6"/>
        <v>56100</v>
      </c>
      <c r="I25" s="9">
        <f t="shared" si="7"/>
        <v>56100</v>
      </c>
      <c r="J25" s="7" t="s">
        <v>18</v>
      </c>
      <c r="K25" s="12">
        <v>7057361722</v>
      </c>
      <c r="L25" s="8">
        <v>7651863519</v>
      </c>
      <c r="M25" s="2" t="s">
        <v>80</v>
      </c>
    </row>
    <row r="26" spans="1:13" ht="39" customHeight="1" x14ac:dyDescent="0.25">
      <c r="A26" s="7">
        <v>18</v>
      </c>
      <c r="B26" s="14" t="s">
        <v>55</v>
      </c>
      <c r="C26" s="8" t="s">
        <v>21</v>
      </c>
      <c r="D26" s="9">
        <v>56100</v>
      </c>
      <c r="E26" s="9">
        <f>D26</f>
        <v>56100</v>
      </c>
      <c r="F26" s="7">
        <v>0</v>
      </c>
      <c r="G26" s="7">
        <v>0</v>
      </c>
      <c r="H26" s="9">
        <f t="shared" si="6"/>
        <v>56100</v>
      </c>
      <c r="I26" s="9">
        <f t="shared" si="7"/>
        <v>56100</v>
      </c>
      <c r="J26" s="7" t="s">
        <v>18</v>
      </c>
      <c r="K26" s="10" t="s">
        <v>56</v>
      </c>
      <c r="L26" s="8">
        <v>8887939722</v>
      </c>
      <c r="M26" s="2" t="s">
        <v>57</v>
      </c>
    </row>
    <row r="27" spans="1:13" ht="39" customHeight="1" x14ac:dyDescent="0.25">
      <c r="A27" s="7">
        <v>19</v>
      </c>
      <c r="B27" s="14" t="s">
        <v>49</v>
      </c>
      <c r="C27" s="8" t="s">
        <v>21</v>
      </c>
      <c r="D27" s="9">
        <v>56100</v>
      </c>
      <c r="E27" s="9">
        <f t="shared" ref="E27:E30" si="9">D27</f>
        <v>56100</v>
      </c>
      <c r="F27" s="7">
        <v>0</v>
      </c>
      <c r="G27" s="7">
        <v>0</v>
      </c>
      <c r="H27" s="9">
        <f t="shared" ref="H27:H30" si="10">D27</f>
        <v>56100</v>
      </c>
      <c r="I27" s="9">
        <f t="shared" ref="I27:I30" si="11">D27</f>
        <v>56100</v>
      </c>
      <c r="J27" s="7" t="s">
        <v>18</v>
      </c>
      <c r="K27" s="10" t="s">
        <v>50</v>
      </c>
      <c r="L27" s="8">
        <v>7376166976</v>
      </c>
      <c r="M27" s="2" t="s">
        <v>51</v>
      </c>
    </row>
    <row r="28" spans="1:13" ht="39" customHeight="1" x14ac:dyDescent="0.25">
      <c r="A28" s="7">
        <v>20</v>
      </c>
      <c r="B28" s="14" t="s">
        <v>52</v>
      </c>
      <c r="C28" s="8" t="s">
        <v>21</v>
      </c>
      <c r="D28" s="9">
        <v>56100</v>
      </c>
      <c r="E28" s="9">
        <f t="shared" si="9"/>
        <v>56100</v>
      </c>
      <c r="F28" s="7">
        <v>0</v>
      </c>
      <c r="G28" s="7">
        <v>0</v>
      </c>
      <c r="H28" s="9">
        <f t="shared" si="10"/>
        <v>56100</v>
      </c>
      <c r="I28" s="9">
        <f t="shared" si="11"/>
        <v>56100</v>
      </c>
      <c r="J28" s="7" t="s">
        <v>18</v>
      </c>
      <c r="K28" s="10" t="s">
        <v>54</v>
      </c>
      <c r="L28" s="8">
        <v>9118180180</v>
      </c>
      <c r="M28" s="2" t="s">
        <v>53</v>
      </c>
    </row>
    <row r="29" spans="1:13" ht="39" customHeight="1" x14ac:dyDescent="0.25">
      <c r="A29" s="7">
        <v>21</v>
      </c>
      <c r="B29" s="14" t="s">
        <v>28</v>
      </c>
      <c r="C29" s="8" t="s">
        <v>21</v>
      </c>
      <c r="D29" s="9">
        <v>70000</v>
      </c>
      <c r="E29" s="9">
        <f t="shared" si="9"/>
        <v>70000</v>
      </c>
      <c r="F29" s="7">
        <v>0</v>
      </c>
      <c r="G29" s="7">
        <v>0</v>
      </c>
      <c r="H29" s="9">
        <f t="shared" si="10"/>
        <v>70000</v>
      </c>
      <c r="I29" s="9">
        <f t="shared" si="11"/>
        <v>70000</v>
      </c>
      <c r="J29" s="7" t="s">
        <v>18</v>
      </c>
      <c r="K29" s="10" t="s">
        <v>29</v>
      </c>
      <c r="L29" s="8">
        <v>9565334833</v>
      </c>
      <c r="M29" s="2" t="s">
        <v>31</v>
      </c>
    </row>
    <row r="30" spans="1:13" ht="39" customHeight="1" x14ac:dyDescent="0.25">
      <c r="A30" s="7">
        <v>22</v>
      </c>
      <c r="B30" s="14" t="s">
        <v>85</v>
      </c>
      <c r="C30" s="8" t="s">
        <v>21</v>
      </c>
      <c r="D30" s="9">
        <v>56100</v>
      </c>
      <c r="E30" s="9">
        <f t="shared" si="9"/>
        <v>56100</v>
      </c>
      <c r="F30" s="7">
        <v>0</v>
      </c>
      <c r="G30" s="7">
        <v>0</v>
      </c>
      <c r="H30" s="9">
        <f t="shared" si="10"/>
        <v>56100</v>
      </c>
      <c r="I30" s="9">
        <f t="shared" si="11"/>
        <v>56100</v>
      </c>
      <c r="J30" s="7" t="s">
        <v>18</v>
      </c>
      <c r="K30" s="10" t="s">
        <v>92</v>
      </c>
      <c r="L30" s="8">
        <v>7905025614</v>
      </c>
      <c r="M30" s="2" t="s">
        <v>84</v>
      </c>
    </row>
    <row r="31" spans="1:13" ht="39" customHeight="1" x14ac:dyDescent="0.25">
      <c r="A31" s="7">
        <v>23</v>
      </c>
      <c r="B31" s="14" t="s">
        <v>59</v>
      </c>
      <c r="C31" s="8" t="s">
        <v>21</v>
      </c>
      <c r="D31" s="9">
        <v>56100</v>
      </c>
      <c r="E31" s="9">
        <f t="shared" ref="E31:E32" si="12">D31</f>
        <v>56100</v>
      </c>
      <c r="F31" s="7">
        <v>0</v>
      </c>
      <c r="G31" s="7">
        <v>0</v>
      </c>
      <c r="H31" s="9">
        <f t="shared" ref="H31:H32" si="13">D31</f>
        <v>56100</v>
      </c>
      <c r="I31" s="9">
        <f t="shared" ref="I31:I32" si="14">D31</f>
        <v>56100</v>
      </c>
      <c r="J31" s="7" t="s">
        <v>18</v>
      </c>
      <c r="K31" s="13">
        <v>30917231978</v>
      </c>
      <c r="L31" s="8">
        <v>8375066931</v>
      </c>
      <c r="M31" s="2" t="s">
        <v>61</v>
      </c>
    </row>
    <row r="32" spans="1:13" ht="39" customHeight="1" x14ac:dyDescent="0.25">
      <c r="A32" s="7">
        <v>24</v>
      </c>
      <c r="B32" s="14" t="s">
        <v>60</v>
      </c>
      <c r="C32" s="8" t="s">
        <v>21</v>
      </c>
      <c r="D32" s="9">
        <v>56100</v>
      </c>
      <c r="E32" s="9">
        <f t="shared" si="12"/>
        <v>56100</v>
      </c>
      <c r="F32" s="7">
        <v>0</v>
      </c>
      <c r="G32" s="7">
        <v>0</v>
      </c>
      <c r="H32" s="9">
        <f t="shared" si="13"/>
        <v>56100</v>
      </c>
      <c r="I32" s="9">
        <f t="shared" si="14"/>
        <v>56100</v>
      </c>
      <c r="J32" s="7" t="s">
        <v>18</v>
      </c>
      <c r="K32" s="10" t="s">
        <v>62</v>
      </c>
      <c r="L32" s="8">
        <v>7385924145</v>
      </c>
      <c r="M32" s="2" t="s">
        <v>63</v>
      </c>
    </row>
    <row r="33" spans="1:13" ht="39" customHeight="1" x14ac:dyDescent="0.25">
      <c r="A33" s="7">
        <v>25</v>
      </c>
      <c r="B33" s="14" t="s">
        <v>93</v>
      </c>
      <c r="C33" s="8" t="s">
        <v>94</v>
      </c>
      <c r="D33" s="9">
        <v>25000</v>
      </c>
      <c r="E33" s="9">
        <f t="shared" ref="E33" si="15">D33</f>
        <v>25000</v>
      </c>
      <c r="F33" s="7">
        <v>0</v>
      </c>
      <c r="G33" s="7">
        <v>0</v>
      </c>
      <c r="H33" s="9">
        <f t="shared" ref="H33" si="16">D33</f>
        <v>25000</v>
      </c>
      <c r="I33" s="9">
        <f t="shared" ref="I33" si="17">D33</f>
        <v>25000</v>
      </c>
      <c r="J33" s="7" t="s">
        <v>18</v>
      </c>
      <c r="K33" s="10" t="s">
        <v>45</v>
      </c>
      <c r="L33" s="8">
        <v>9839453998</v>
      </c>
      <c r="M33" s="2" t="s">
        <v>46</v>
      </c>
    </row>
    <row r="34" spans="1:13" ht="39" customHeight="1" x14ac:dyDescent="0.25"/>
    <row r="35" spans="1:13" ht="39" customHeight="1" x14ac:dyDescent="0.25"/>
    <row r="36" spans="1:13" ht="39" customHeight="1" x14ac:dyDescent="0.25"/>
    <row r="37" spans="1:13" ht="39" customHeight="1" x14ac:dyDescent="0.25"/>
    <row r="38" spans="1:13" ht="39" customHeight="1" x14ac:dyDescent="0.25"/>
    <row r="39" spans="1:13" ht="39" customHeight="1" x14ac:dyDescent="0.25"/>
    <row r="40" spans="1:13" ht="39" customHeight="1" x14ac:dyDescent="0.25"/>
    <row r="41" spans="1:13" ht="39" customHeight="1" x14ac:dyDescent="0.25"/>
    <row r="42" spans="1:13" ht="39" customHeight="1" x14ac:dyDescent="0.25"/>
    <row r="43" spans="1:13" ht="39" customHeight="1" x14ac:dyDescent="0.25"/>
    <row r="44" spans="1:13" ht="39" customHeight="1" x14ac:dyDescent="0.25"/>
    <row r="45" spans="1:13" ht="39" customHeight="1" x14ac:dyDescent="0.25"/>
    <row r="46" spans="1:13" ht="39" customHeight="1" x14ac:dyDescent="0.25"/>
    <row r="47" spans="1:13" ht="39" customHeight="1" x14ac:dyDescent="0.25"/>
    <row r="48" spans="1:13" ht="39" customHeight="1" x14ac:dyDescent="0.25"/>
    <row r="49" ht="39" customHeight="1" x14ac:dyDescent="0.25"/>
    <row r="50" ht="39" customHeight="1" x14ac:dyDescent="0.25"/>
    <row r="51" ht="39" customHeight="1" x14ac:dyDescent="0.25"/>
    <row r="52" ht="39" customHeight="1" x14ac:dyDescent="0.25"/>
    <row r="53" ht="39" customHeight="1" x14ac:dyDescent="0.25"/>
    <row r="54" ht="39" customHeight="1" x14ac:dyDescent="0.25"/>
    <row r="55" ht="39" customHeight="1" x14ac:dyDescent="0.25"/>
    <row r="56" ht="39" customHeight="1" x14ac:dyDescent="0.25"/>
    <row r="57" ht="39" customHeight="1" x14ac:dyDescent="0.25"/>
    <row r="58" ht="39" customHeight="1" x14ac:dyDescent="0.25"/>
    <row r="59" ht="39" customHeight="1" x14ac:dyDescent="0.25"/>
    <row r="60" ht="39" customHeight="1" x14ac:dyDescent="0.25"/>
    <row r="61" ht="39" customHeight="1" x14ac:dyDescent="0.25"/>
  </sheetData>
  <sheetProtection selectLockedCells="1" selectUnlockedCells="1"/>
  <mergeCells count="5">
    <mergeCell ref="A1:M5"/>
    <mergeCell ref="A6:B6"/>
    <mergeCell ref="C6:M6"/>
    <mergeCell ref="A7:B7"/>
    <mergeCell ref="C7:M7"/>
  </mergeCells>
  <phoneticPr fontId="4" type="noConversion"/>
  <pageMargins left="0.23622047244094491" right="0.15748031496062992" top="0.59055118110236227" bottom="0.43307086614173229" header="0.15748031496062992" footer="0.15748031496062992"/>
  <pageSetup paperSize="9" scale="90" orientation="landscape" useFirstPageNumber="1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Awadh Paramedical College</cp:lastModifiedBy>
  <cp:lastPrinted>2026-03-19T09:46:42Z</cp:lastPrinted>
  <dcterms:created xsi:type="dcterms:W3CDTF">2022-03-25T09:14:32Z</dcterms:created>
  <dcterms:modified xsi:type="dcterms:W3CDTF">2026-05-10T13:14:17Z</dcterms:modified>
</cp:coreProperties>
</file>