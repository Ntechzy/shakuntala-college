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-105" yWindow="-105" windowWidth="21840" windowHeight="12450" tabRatio="308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63" i="1"/>
  <c r="H63"/>
  <c r="I63"/>
  <c r="E64"/>
  <c r="H64"/>
  <c r="I64"/>
  <c r="I62"/>
  <c r="H62"/>
  <c r="E62"/>
  <c r="I61"/>
  <c r="H61"/>
  <c r="E61"/>
  <c r="E45"/>
  <c r="H45"/>
  <c r="I45"/>
  <c r="E18"/>
  <c r="H18"/>
  <c r="I18"/>
  <c r="E17"/>
  <c r="H17"/>
  <c r="I17"/>
  <c r="E10"/>
  <c r="H10"/>
  <c r="I10"/>
  <c r="E11"/>
  <c r="H11"/>
  <c r="I11"/>
  <c r="E12"/>
  <c r="H12"/>
  <c r="I12"/>
  <c r="E13"/>
  <c r="H13"/>
  <c r="I13"/>
  <c r="E14"/>
  <c r="H14"/>
  <c r="I14"/>
  <c r="E15"/>
  <c r="H15"/>
  <c r="I15"/>
  <c r="E16"/>
  <c r="H16"/>
  <c r="I16"/>
  <c r="E19"/>
  <c r="H19"/>
  <c r="I19"/>
  <c r="E20"/>
  <c r="H20"/>
  <c r="I20"/>
  <c r="E21"/>
  <c r="H21"/>
  <c r="I21"/>
  <c r="E22"/>
  <c r="H22"/>
  <c r="I22"/>
  <c r="E23"/>
  <c r="H23"/>
  <c r="I23"/>
  <c r="E24"/>
  <c r="H24"/>
  <c r="I24"/>
  <c r="E25"/>
  <c r="H25"/>
  <c r="I25"/>
  <c r="E26"/>
  <c r="H26"/>
  <c r="I26"/>
  <c r="E27"/>
  <c r="H27"/>
  <c r="I27"/>
  <c r="E28"/>
  <c r="H28"/>
  <c r="I28"/>
  <c r="E29"/>
  <c r="H29"/>
  <c r="I29"/>
  <c r="E30"/>
  <c r="H30"/>
  <c r="I30"/>
  <c r="E31"/>
  <c r="H31"/>
  <c r="I31"/>
  <c r="E32"/>
  <c r="H32"/>
  <c r="I32"/>
  <c r="E33"/>
  <c r="H33"/>
  <c r="I33"/>
  <c r="E34"/>
  <c r="H34"/>
  <c r="I34"/>
  <c r="E35"/>
  <c r="H35"/>
  <c r="I35"/>
  <c r="E36"/>
  <c r="H36"/>
  <c r="I36"/>
  <c r="E37"/>
  <c r="H37"/>
  <c r="I37"/>
  <c r="E38"/>
  <c r="H38"/>
  <c r="I38"/>
  <c r="E39"/>
  <c r="H39"/>
  <c r="I39"/>
  <c r="E40"/>
  <c r="H40"/>
  <c r="I40"/>
  <c r="E41"/>
  <c r="H41"/>
  <c r="I41"/>
  <c r="E42"/>
  <c r="H42"/>
  <c r="I42"/>
  <c r="E43"/>
  <c r="H43"/>
  <c r="I43"/>
  <c r="E44"/>
  <c r="H44"/>
  <c r="I44"/>
  <c r="E46"/>
  <c r="H46"/>
  <c r="I46"/>
  <c r="E47"/>
  <c r="H47"/>
  <c r="I47"/>
  <c r="E48"/>
  <c r="H48"/>
  <c r="I48"/>
  <c r="E49"/>
  <c r="H49"/>
  <c r="I49"/>
  <c r="E50"/>
  <c r="H50"/>
  <c r="I50"/>
  <c r="E51"/>
  <c r="H51"/>
  <c r="I51"/>
  <c r="E52"/>
  <c r="H52"/>
  <c r="I52"/>
  <c r="E53"/>
  <c r="H53"/>
  <c r="I53"/>
  <c r="E54"/>
  <c r="H54"/>
  <c r="I54"/>
  <c r="E55"/>
  <c r="H55"/>
  <c r="I55"/>
  <c r="E56"/>
  <c r="H56"/>
  <c r="I56"/>
  <c r="E57"/>
  <c r="H57"/>
  <c r="I57"/>
  <c r="E58"/>
  <c r="H58"/>
  <c r="I58"/>
  <c r="E59"/>
  <c r="H59"/>
  <c r="I59"/>
  <c r="E60"/>
  <c r="H60"/>
  <c r="I60"/>
  <c r="I9"/>
  <c r="H9"/>
  <c r="E9"/>
</calcChain>
</file>

<file path=xl/sharedStrings.xml><?xml version="1.0" encoding="utf-8"?>
<sst xmlns="http://schemas.openxmlformats.org/spreadsheetml/2006/main" count="245" uniqueCount="158">
  <si>
    <t>Institution Id (e.g. AYU0001):</t>
  </si>
  <si>
    <t>Institution Name:</t>
  </si>
  <si>
    <t>S. No</t>
  </si>
  <si>
    <t>Name of Employee</t>
  </si>
  <si>
    <t>Designation</t>
  </si>
  <si>
    <t>Pay Scale</t>
  </si>
  <si>
    <t>Basic Pay</t>
  </si>
  <si>
    <t>DA &amp; Other allowances</t>
  </si>
  <si>
    <t>Deduction GPF/CPF/IT</t>
  </si>
  <si>
    <t>Gross Pay</t>
  </si>
  <si>
    <t>Net Pay</t>
  </si>
  <si>
    <t>Mode of Payment</t>
  </si>
  <si>
    <t>Salary account details of employee</t>
  </si>
  <si>
    <t>Contact No.</t>
  </si>
  <si>
    <t>Email id</t>
  </si>
  <si>
    <t>Dr. Shakuntala Ayurvedic Medical College, Nayansand, Gaurabadshahpur, Jaunpur-222133, Uttar Pradesh</t>
  </si>
  <si>
    <t>AYU0728</t>
  </si>
  <si>
    <t>Librarian</t>
  </si>
  <si>
    <t>Clerical Staff</t>
  </si>
  <si>
    <t>Accountant</t>
  </si>
  <si>
    <t>Bank</t>
  </si>
  <si>
    <t>Assistant Librarian</t>
  </si>
  <si>
    <t>savitagupta76068@gmail.com</t>
  </si>
  <si>
    <t>yrajeshwari502@gmail.com</t>
  </si>
  <si>
    <t>kanchanvns85@gmail.com</t>
  </si>
  <si>
    <t>rajeshsbi1974@gmail.com</t>
  </si>
  <si>
    <t>sd786281@gmail.com</t>
  </si>
  <si>
    <t>sachinthemaofaction@gmail.com</t>
  </si>
  <si>
    <t>jnp.pramod22@gmail.com</t>
  </si>
  <si>
    <t>rajajiyadav07@gmail.com</t>
  </si>
  <si>
    <t>awadheshsingh.2000@rediffimail.com</t>
  </si>
  <si>
    <t>kishan1992@gmail.com</t>
  </si>
  <si>
    <t>dinesh4785@gmail.com</t>
  </si>
  <si>
    <t>sharmaramkesh68@gmail.com</t>
  </si>
  <si>
    <t>manjuyadav38@gmail.com</t>
  </si>
  <si>
    <t>Mr Sachin Yadav</t>
  </si>
  <si>
    <t>Er. Dilshad Khan</t>
  </si>
  <si>
    <t>Mr. Deepak Kumar</t>
  </si>
  <si>
    <t>Mrs Kanchan Singh Yadav</t>
  </si>
  <si>
    <t>Bhumi Sahu</t>
  </si>
  <si>
    <t>Pramod Kumar Yadav</t>
  </si>
  <si>
    <t>Raju Yadav</t>
  </si>
  <si>
    <t>Anuj Singh</t>
  </si>
  <si>
    <t>Awadhesh Kumar Singh</t>
  </si>
  <si>
    <t>Rajeshwari Yadav</t>
  </si>
  <si>
    <t>Manju Devi</t>
  </si>
  <si>
    <t>Sumit Tiwari</t>
  </si>
  <si>
    <t>Rajesh Kumar Yadav</t>
  </si>
  <si>
    <t>Pooja Yadav</t>
  </si>
  <si>
    <t>Ramkesh Sharma</t>
  </si>
  <si>
    <t>Gopi</t>
  </si>
  <si>
    <t>Savita Gupta</t>
  </si>
  <si>
    <t>Vijay Vishwakarma</t>
  </si>
  <si>
    <t>Dinesh Verma</t>
  </si>
  <si>
    <t>Ashutosh Prajapati</t>
  </si>
  <si>
    <t>Ms Anjali Yadav</t>
  </si>
  <si>
    <t>Shubham Dubey</t>
  </si>
  <si>
    <t>Ashish Kumar</t>
  </si>
  <si>
    <t xml:space="preserve">Snehal </t>
  </si>
  <si>
    <t>Ram Murat</t>
  </si>
  <si>
    <t>Satendra Yadav</t>
  </si>
  <si>
    <t>Neeloo Yadav</t>
  </si>
  <si>
    <t>Office Superintendent</t>
  </si>
  <si>
    <t>IT Officer</t>
  </si>
  <si>
    <t>Assistant IT Officer</t>
  </si>
  <si>
    <t>Multi Tasking Staff</t>
  </si>
  <si>
    <t>P.A. to Principal</t>
  </si>
  <si>
    <t>Clerk for Account Section</t>
  </si>
  <si>
    <t>Library Attendant</t>
  </si>
  <si>
    <t>Incharge- Yogya</t>
  </si>
  <si>
    <t>Clerk</t>
  </si>
  <si>
    <t>Museum Keeper</t>
  </si>
  <si>
    <t>Cadaver Lifter</t>
  </si>
  <si>
    <t>Laboratory Technician (DMLT)</t>
  </si>
  <si>
    <t>Lab Attendant</t>
  </si>
  <si>
    <t>Pharmacognosist</t>
  </si>
  <si>
    <t>Gardner</t>
  </si>
  <si>
    <t>Instructor - Analytical Chemist</t>
  </si>
  <si>
    <t>Analytical Chemist</t>
  </si>
  <si>
    <t>Laboratory Technician (12th Pass)</t>
  </si>
  <si>
    <t>Yoga Instructor</t>
  </si>
  <si>
    <t>Counsellor</t>
  </si>
  <si>
    <t>shivamsamikshayadav@gmail.com</t>
  </si>
  <si>
    <t>drsamch2023@gmail.com</t>
  </si>
  <si>
    <t>shitu150805@gmail.com</t>
  </si>
  <si>
    <t>dilshadkhan88811@gmail.com</t>
  </si>
  <si>
    <t>deepakraja1120@gmail.com</t>
  </si>
  <si>
    <t>anuj09092005@gmail.com</t>
  </si>
  <si>
    <t>poojajnp80@gmail.com</t>
  </si>
  <si>
    <t>gopisaroj7233@gmail.com</t>
  </si>
  <si>
    <t>ashutoshprajapati@gmail.com</t>
  </si>
  <si>
    <t>yadavanjali639262@gmail.com</t>
  </si>
  <si>
    <t>g1947306@gmail.com</t>
  </si>
  <si>
    <t>sy421888@gmail.com</t>
  </si>
  <si>
    <t>kaumrpankajkumar8@gmail.com</t>
  </si>
  <si>
    <t>Krishn Kumar</t>
  </si>
  <si>
    <t>Kishan sharma</t>
  </si>
  <si>
    <t>sharmak42425@gmail.com</t>
  </si>
  <si>
    <t>IndrajeetYadav</t>
  </si>
  <si>
    <t>yadavindrajeet1010@gmail.com</t>
  </si>
  <si>
    <t>Aman Yadav</t>
  </si>
  <si>
    <t>Nikhil Yadav</t>
  </si>
  <si>
    <t>ay12210216@gmail.com</t>
  </si>
  <si>
    <t>ynk308441@gmail.com</t>
  </si>
  <si>
    <t>Amukh Rai</t>
  </si>
  <si>
    <t>raiamukh740@gmail.com</t>
  </si>
  <si>
    <t>Dr. Vimlesh Kumar Tiwari</t>
  </si>
  <si>
    <t>Shivani Kumari</t>
  </si>
  <si>
    <t>Anchal Maurya</t>
  </si>
  <si>
    <t>aanchalmaurya2022@gmail.com</t>
  </si>
  <si>
    <t>shivaniso194@gmail.com</t>
  </si>
  <si>
    <t>Vikash Maurya</t>
  </si>
  <si>
    <t>vikashmaurya92194@gmail.com</t>
  </si>
  <si>
    <t>Sahil</t>
  </si>
  <si>
    <t>bharadwajsahil622@gmail.com</t>
  </si>
  <si>
    <t>Dr. Supriya Singh</t>
  </si>
  <si>
    <t>Nitin Sangam</t>
  </si>
  <si>
    <t>Savan Kumar Yadav</t>
  </si>
  <si>
    <t>Arpit Kumar Yadav</t>
  </si>
  <si>
    <t>Co-ordinator (Addition Charge)</t>
  </si>
  <si>
    <t>Physical Education Instructor (Part Time)</t>
  </si>
  <si>
    <t>savanyadavrudra@gmail.com</t>
  </si>
  <si>
    <t>mrnitisangam@gmail.com</t>
  </si>
  <si>
    <t>arpityadav20306@gmail.com</t>
  </si>
  <si>
    <t>Mayank Patel</t>
  </si>
  <si>
    <t>Shivam Yadav</t>
  </si>
  <si>
    <t>mayankpatel8967@gmail.com</t>
  </si>
  <si>
    <t>shivamydvjnp2@gmail.com</t>
  </si>
  <si>
    <t>Amit Yadav</t>
  </si>
  <si>
    <t>35600212000722</t>
  </si>
  <si>
    <t>yadava23407@gmail.com</t>
  </si>
  <si>
    <t>drxvishwakarma@gmail.com</t>
  </si>
  <si>
    <t>vimlesh85tiwari@gmail.com</t>
  </si>
  <si>
    <t>d.supriyasingh25@gmail.com</t>
  </si>
  <si>
    <t>ashishkumarpandey3112@gmail.com</t>
  </si>
  <si>
    <t>dt9542997@gmail.com</t>
  </si>
  <si>
    <t>Dr. Arpita Nigam</t>
  </si>
  <si>
    <t>Ankit Yadav</t>
  </si>
  <si>
    <t>Arati Devi</t>
  </si>
  <si>
    <t>H.R. - Incharge</t>
  </si>
  <si>
    <t>H.R. - Clerk</t>
  </si>
  <si>
    <t>H.R.-Multi Tasking Staff</t>
  </si>
  <si>
    <t xml:space="preserve">
                                                    PERFORMA TO FURNISH THE SALARY DETAILS OF NON-TEACHING STAFF</t>
  </si>
  <si>
    <t>Dharmendra Kumar Yadav</t>
  </si>
  <si>
    <t>yadavdharmendra375@gmail.com</t>
  </si>
  <si>
    <t>Ramesh Kannaujia</t>
  </si>
  <si>
    <t>rameshkumar185@gmail.com</t>
  </si>
  <si>
    <t>Victor Edson</t>
  </si>
  <si>
    <t>victorkumar387@gmail.com</t>
  </si>
  <si>
    <t>iqbalansari@gmail.com</t>
  </si>
  <si>
    <t>santoshpal@gmail.com</t>
  </si>
  <si>
    <t>Govind Singh</t>
  </si>
  <si>
    <t>Ikabl Ahmad Ansari</t>
  </si>
  <si>
    <t>Plumber</t>
  </si>
  <si>
    <t>Electrician</t>
  </si>
  <si>
    <t>As per Visit</t>
  </si>
  <si>
    <t>Santosh Kumar</t>
  </si>
  <si>
    <t>Carpenter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</si>
</sst>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0"/>
      <name val="Arial"/>
      <family val="2"/>
    </font>
    <font>
      <sz val="11"/>
      <color indexed="8"/>
      <name val="Calibri"/>
      <family val="2"/>
      <charset val="1"/>
    </font>
    <font>
      <sz val="9"/>
      <color indexed="8"/>
      <name val="Arial"/>
      <family val="2"/>
    </font>
    <font>
      <sz val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Times New Roman"/>
      <family val="1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9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/>
    </xf>
    <xf numFmtId="1" fontId="2" fillId="0" borderId="0" xfId="1" applyNumberFormat="1" applyFont="1"/>
    <xf numFmtId="0" fontId="6" fillId="0" borderId="1" xfId="1" applyFont="1" applyBorder="1" applyAlignment="1">
      <alignment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1" applyFont="1" applyAlignment="1">
      <alignment wrapText="1"/>
    </xf>
    <xf numFmtId="0" fontId="4" fillId="0" borderId="1" xfId="1" applyFont="1" applyBorder="1" applyAlignment="1">
      <alignment vertical="center" wrapText="1"/>
    </xf>
    <xf numFmtId="1" fontId="4" fillId="0" borderId="1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49" fontId="9" fillId="3" borderId="1" xfId="2" applyNumberFormat="1" applyFont="1" applyFill="1" applyBorder="1" applyAlignment="1">
      <alignment horizontal="left" vertical="center"/>
    </xf>
    <xf numFmtId="1" fontId="6" fillId="0" borderId="1" xfId="1" applyNumberFormat="1" applyFont="1" applyBorder="1" applyAlignment="1">
      <alignment horizontal="left" vertical="center" wrapText="1"/>
    </xf>
    <xf numFmtId="1" fontId="6" fillId="0" borderId="1" xfId="1" applyNumberFormat="1" applyFont="1" applyBorder="1" applyAlignment="1">
      <alignment horizontal="left" vertical="center"/>
    </xf>
    <xf numFmtId="0" fontId="4" fillId="0" borderId="0" xfId="1" applyFont="1" applyAlignment="1">
      <alignment horizontal="left"/>
    </xf>
    <xf numFmtId="0" fontId="6" fillId="0" borderId="1" xfId="1" applyFont="1" applyBorder="1" applyAlignment="1">
      <alignment horizontal="left" vertical="center"/>
    </xf>
    <xf numFmtId="1" fontId="6" fillId="3" borderId="1" xfId="1" applyNumberFormat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left" vertical="top" wrapText="1"/>
    </xf>
    <xf numFmtId="0" fontId="4" fillId="2" borderId="3" xfId="1" applyFont="1" applyFill="1" applyBorder="1" applyAlignment="1">
      <alignment horizontal="left" vertical="top" wrapText="1"/>
    </xf>
    <xf numFmtId="0" fontId="5" fillId="0" borderId="1" xfId="1" applyFont="1" applyBorder="1" applyAlignment="1" applyProtection="1">
      <alignment horizontal="center" vertical="top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45720</xdr:rowOff>
    </xdr:from>
    <xdr:to>
      <xdr:col>1</xdr:col>
      <xdr:colOff>335280</xdr:colOff>
      <xdr:row>4</xdr:row>
      <xdr:rowOff>106680</xdr:rowOff>
    </xdr:to>
    <xdr:pic>
      <xdr:nvPicPr>
        <xdr:cNvPr id="1179" name="Picture 1">
          <a:extLst>
            <a:ext uri="{FF2B5EF4-FFF2-40B4-BE49-F238E27FC236}">
              <a16:creationId xmlns:a16="http://schemas.microsoft.com/office/drawing/2014/main" xmlns="" id="{E959BFBF-2145-433D-043E-1A8BB594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06680" y="45720"/>
          <a:ext cx="60198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106680</xdr:colOff>
      <xdr:row>0</xdr:row>
      <xdr:rowOff>45720</xdr:rowOff>
    </xdr:from>
    <xdr:to>
      <xdr:col>1</xdr:col>
      <xdr:colOff>335280</xdr:colOff>
      <xdr:row>4</xdr:row>
      <xdr:rowOff>106680</xdr:rowOff>
    </xdr:to>
    <xdr:pic>
      <xdr:nvPicPr>
        <xdr:cNvPr id="1180" name="Picture 2">
          <a:extLst>
            <a:ext uri="{FF2B5EF4-FFF2-40B4-BE49-F238E27FC236}">
              <a16:creationId xmlns:a16="http://schemas.microsoft.com/office/drawing/2014/main" xmlns="" id="{6C6788DF-CDDE-5C02-3B0D-370689342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06680" y="45720"/>
          <a:ext cx="60198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754380</xdr:colOff>
      <xdr:row>4</xdr:row>
      <xdr:rowOff>152400</xdr:rowOff>
    </xdr:to>
    <xdr:pic>
      <xdr:nvPicPr>
        <xdr:cNvPr id="1181" name="Picture 2">
          <a:extLst>
            <a:ext uri="{FF2B5EF4-FFF2-40B4-BE49-F238E27FC236}">
              <a16:creationId xmlns:a16="http://schemas.microsoft.com/office/drawing/2014/main" xmlns="" id="{6BDEB513-35FE-4E69-0F6C-1B41D5E4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27760" cy="8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topLeftCell="A22" zoomScaleNormal="100" workbookViewId="0">
      <selection activeCell="E67" sqref="E67"/>
    </sheetView>
  </sheetViews>
  <sheetFormatPr defaultColWidth="9.140625" defaultRowHeight="14.25"/>
  <cols>
    <col min="1" max="1" width="5.42578125" style="3" customWidth="1"/>
    <col min="2" max="2" width="22.7109375" style="12" customWidth="1"/>
    <col min="3" max="3" width="22.5703125" style="1" customWidth="1"/>
    <col min="4" max="5" width="9.42578125" style="12" customWidth="1"/>
    <col min="6" max="6" width="7.42578125" style="1" customWidth="1"/>
    <col min="7" max="7" width="9.85546875" style="1" customWidth="1"/>
    <col min="8" max="9" width="7.5703125" style="3" customWidth="1"/>
    <col min="10" max="10" width="7.5703125" style="1" customWidth="1"/>
    <col min="11" max="11" width="17.28515625" style="21" customWidth="1"/>
    <col min="12" max="12" width="13.42578125" style="3" customWidth="1"/>
    <col min="13" max="13" width="32.42578125" style="4" customWidth="1"/>
    <col min="14" max="16384" width="9.140625" style="1"/>
  </cols>
  <sheetData>
    <row r="1" spans="1:13" ht="12.75" customHeight="1">
      <c r="A1" s="24" t="s">
        <v>142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8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14.45" customHeight="1">
      <c r="A6" s="25" t="s">
        <v>0</v>
      </c>
      <c r="B6" s="26"/>
      <c r="C6" s="27" t="s">
        <v>16</v>
      </c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ht="22.9" customHeight="1">
      <c r="A7" s="25" t="s">
        <v>1</v>
      </c>
      <c r="B7" s="26"/>
      <c r="C7" s="28" t="s">
        <v>15</v>
      </c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3" s="2" customFormat="1" ht="55.9" customHeight="1">
      <c r="A8" s="8" t="s">
        <v>2</v>
      </c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10</v>
      </c>
      <c r="J8" s="8" t="s">
        <v>11</v>
      </c>
      <c r="K8" s="9" t="s">
        <v>12</v>
      </c>
      <c r="L8" s="9" t="s">
        <v>13</v>
      </c>
      <c r="M8" s="8" t="s">
        <v>14</v>
      </c>
    </row>
    <row r="9" spans="1:13" s="2" customFormat="1" ht="27" customHeight="1">
      <c r="A9" s="17">
        <v>1</v>
      </c>
      <c r="B9" s="5" t="s">
        <v>35</v>
      </c>
      <c r="C9" s="5" t="s">
        <v>62</v>
      </c>
      <c r="D9" s="15">
        <v>45000</v>
      </c>
      <c r="E9" s="15">
        <f>D9</f>
        <v>45000</v>
      </c>
      <c r="F9" s="16">
        <v>0</v>
      </c>
      <c r="G9" s="16">
        <v>0</v>
      </c>
      <c r="H9" s="15">
        <f>D9</f>
        <v>45000</v>
      </c>
      <c r="I9" s="15">
        <f>D9</f>
        <v>45000</v>
      </c>
      <c r="J9" s="10" t="s">
        <v>20</v>
      </c>
      <c r="K9" s="19">
        <v>50100021474203</v>
      </c>
      <c r="L9" s="6">
        <v>9918905644</v>
      </c>
      <c r="M9" s="11" t="s">
        <v>27</v>
      </c>
    </row>
    <row r="10" spans="1:13" s="2" customFormat="1" ht="27" customHeight="1">
      <c r="A10" s="17">
        <v>2</v>
      </c>
      <c r="B10" s="5" t="s">
        <v>36</v>
      </c>
      <c r="C10" s="5" t="s">
        <v>63</v>
      </c>
      <c r="D10" s="15">
        <v>15000</v>
      </c>
      <c r="E10" s="15">
        <f t="shared" ref="E10:E60" si="0">D10</f>
        <v>15000</v>
      </c>
      <c r="F10" s="16">
        <v>0</v>
      </c>
      <c r="G10" s="16">
        <v>0</v>
      </c>
      <c r="H10" s="15">
        <f t="shared" ref="H10:H60" si="1">D10</f>
        <v>15000</v>
      </c>
      <c r="I10" s="15">
        <f t="shared" ref="I10:I60" si="2">D10</f>
        <v>15000</v>
      </c>
      <c r="J10" s="10" t="s">
        <v>20</v>
      </c>
      <c r="K10" s="19">
        <v>50100462981170</v>
      </c>
      <c r="L10" s="6">
        <v>9129773253</v>
      </c>
      <c r="M10" s="11" t="s">
        <v>85</v>
      </c>
    </row>
    <row r="11" spans="1:13" s="2" customFormat="1" ht="27" customHeight="1">
      <c r="A11" s="17">
        <v>3</v>
      </c>
      <c r="B11" s="5" t="s">
        <v>37</v>
      </c>
      <c r="C11" s="5" t="s">
        <v>64</v>
      </c>
      <c r="D11" s="15">
        <v>8000</v>
      </c>
      <c r="E11" s="15">
        <f t="shared" si="0"/>
        <v>8000</v>
      </c>
      <c r="F11" s="16">
        <v>0</v>
      </c>
      <c r="G11" s="16">
        <v>0</v>
      </c>
      <c r="H11" s="15">
        <f t="shared" si="1"/>
        <v>8000</v>
      </c>
      <c r="I11" s="15">
        <f t="shared" si="2"/>
        <v>8000</v>
      </c>
      <c r="J11" s="10" t="s">
        <v>20</v>
      </c>
      <c r="K11" s="20">
        <v>50100367587043</v>
      </c>
      <c r="L11" s="7">
        <v>8528464634</v>
      </c>
      <c r="M11" s="11" t="s">
        <v>86</v>
      </c>
    </row>
    <row r="12" spans="1:13" s="2" customFormat="1" ht="27" customHeight="1">
      <c r="A12" s="17">
        <v>4</v>
      </c>
      <c r="B12" s="5" t="s">
        <v>96</v>
      </c>
      <c r="C12" s="5" t="s">
        <v>65</v>
      </c>
      <c r="D12" s="15">
        <v>5000</v>
      </c>
      <c r="E12" s="15">
        <f t="shared" si="0"/>
        <v>5000</v>
      </c>
      <c r="F12" s="16">
        <v>0</v>
      </c>
      <c r="G12" s="16">
        <v>0</v>
      </c>
      <c r="H12" s="15">
        <f t="shared" si="1"/>
        <v>5000</v>
      </c>
      <c r="I12" s="15">
        <f t="shared" si="2"/>
        <v>5000</v>
      </c>
      <c r="J12" s="10" t="s">
        <v>20</v>
      </c>
      <c r="K12" s="19">
        <v>658502010010120</v>
      </c>
      <c r="L12" s="6">
        <v>9695669787</v>
      </c>
      <c r="M12" s="11" t="s">
        <v>97</v>
      </c>
    </row>
    <row r="13" spans="1:13" s="2" customFormat="1" ht="27" customHeight="1">
      <c r="A13" s="17">
        <v>5</v>
      </c>
      <c r="B13" s="5" t="s">
        <v>38</v>
      </c>
      <c r="C13" s="5" t="s">
        <v>66</v>
      </c>
      <c r="D13" s="15">
        <v>11000</v>
      </c>
      <c r="E13" s="15">
        <f t="shared" si="0"/>
        <v>11000</v>
      </c>
      <c r="F13" s="16">
        <v>0</v>
      </c>
      <c r="G13" s="16">
        <v>0</v>
      </c>
      <c r="H13" s="15">
        <f t="shared" si="1"/>
        <v>11000</v>
      </c>
      <c r="I13" s="15">
        <f t="shared" si="2"/>
        <v>11000</v>
      </c>
      <c r="J13" s="10" t="s">
        <v>20</v>
      </c>
      <c r="K13" s="19">
        <v>57010100015002</v>
      </c>
      <c r="L13" s="6">
        <v>8808880167</v>
      </c>
      <c r="M13" s="11" t="s">
        <v>24</v>
      </c>
    </row>
    <row r="14" spans="1:13" s="2" customFormat="1" ht="27" customHeight="1">
      <c r="A14" s="17">
        <v>6</v>
      </c>
      <c r="B14" s="5" t="s">
        <v>39</v>
      </c>
      <c r="C14" s="5" t="s">
        <v>19</v>
      </c>
      <c r="D14" s="15">
        <v>8000</v>
      </c>
      <c r="E14" s="15">
        <f t="shared" si="0"/>
        <v>8000</v>
      </c>
      <c r="F14" s="16">
        <v>0</v>
      </c>
      <c r="G14" s="16">
        <v>0</v>
      </c>
      <c r="H14" s="15">
        <f t="shared" si="1"/>
        <v>8000</v>
      </c>
      <c r="I14" s="15">
        <f t="shared" si="2"/>
        <v>8000</v>
      </c>
      <c r="J14" s="10" t="s">
        <v>20</v>
      </c>
      <c r="K14" s="19">
        <v>50100543624653</v>
      </c>
      <c r="L14" s="6">
        <v>6307738457</v>
      </c>
      <c r="M14" s="11" t="s">
        <v>84</v>
      </c>
    </row>
    <row r="15" spans="1:13" s="2" customFormat="1" ht="27" customHeight="1">
      <c r="A15" s="17">
        <v>7</v>
      </c>
      <c r="B15" s="5" t="s">
        <v>40</v>
      </c>
      <c r="C15" s="5" t="s">
        <v>67</v>
      </c>
      <c r="D15" s="15">
        <v>9000</v>
      </c>
      <c r="E15" s="15">
        <f t="shared" si="0"/>
        <v>9000</v>
      </c>
      <c r="F15" s="16">
        <v>0</v>
      </c>
      <c r="G15" s="16">
        <v>0</v>
      </c>
      <c r="H15" s="15">
        <f t="shared" si="1"/>
        <v>9000</v>
      </c>
      <c r="I15" s="15">
        <f t="shared" si="2"/>
        <v>9000</v>
      </c>
      <c r="J15" s="10" t="s">
        <v>20</v>
      </c>
      <c r="K15" s="19">
        <v>638010100001045</v>
      </c>
      <c r="L15" s="6">
        <v>7355089996</v>
      </c>
      <c r="M15" s="11" t="s">
        <v>28</v>
      </c>
    </row>
    <row r="16" spans="1:13" s="2" customFormat="1" ht="27" customHeight="1">
      <c r="A16" s="17">
        <v>8</v>
      </c>
      <c r="B16" s="5" t="s">
        <v>41</v>
      </c>
      <c r="C16" s="5" t="s">
        <v>67</v>
      </c>
      <c r="D16" s="15">
        <v>9000</v>
      </c>
      <c r="E16" s="15">
        <f t="shared" si="0"/>
        <v>9000</v>
      </c>
      <c r="F16" s="16">
        <v>0</v>
      </c>
      <c r="G16" s="16">
        <v>0</v>
      </c>
      <c r="H16" s="15">
        <f t="shared" si="1"/>
        <v>9000</v>
      </c>
      <c r="I16" s="15">
        <f t="shared" si="2"/>
        <v>9000</v>
      </c>
      <c r="J16" s="10" t="s">
        <v>20</v>
      </c>
      <c r="K16" s="19">
        <v>50100509699491</v>
      </c>
      <c r="L16" s="6">
        <v>9451311510</v>
      </c>
      <c r="M16" s="11" t="s">
        <v>29</v>
      </c>
    </row>
    <row r="17" spans="1:13" s="2" customFormat="1" ht="27" customHeight="1">
      <c r="A17" s="17">
        <v>9</v>
      </c>
      <c r="B17" s="5" t="s">
        <v>143</v>
      </c>
      <c r="C17" s="5" t="s">
        <v>18</v>
      </c>
      <c r="D17" s="15">
        <v>10000</v>
      </c>
      <c r="E17" s="15">
        <f t="shared" si="0"/>
        <v>10000</v>
      </c>
      <c r="F17" s="16">
        <v>0</v>
      </c>
      <c r="G17" s="16">
        <v>0</v>
      </c>
      <c r="H17" s="15">
        <f t="shared" si="1"/>
        <v>10000</v>
      </c>
      <c r="I17" s="15">
        <f t="shared" si="2"/>
        <v>10000</v>
      </c>
      <c r="J17" s="10" t="s">
        <v>20</v>
      </c>
      <c r="K17" s="19">
        <v>20301977225</v>
      </c>
      <c r="L17" s="6">
        <v>9554519961</v>
      </c>
      <c r="M17" s="11" t="s">
        <v>144</v>
      </c>
    </row>
    <row r="18" spans="1:13" s="2" customFormat="1" ht="27" customHeight="1">
      <c r="A18" s="17">
        <v>10</v>
      </c>
      <c r="B18" s="5" t="s">
        <v>145</v>
      </c>
      <c r="C18" s="5" t="s">
        <v>18</v>
      </c>
      <c r="D18" s="15">
        <v>10000</v>
      </c>
      <c r="E18" s="15">
        <f t="shared" si="0"/>
        <v>10000</v>
      </c>
      <c r="F18" s="16">
        <v>0</v>
      </c>
      <c r="G18" s="16">
        <v>0</v>
      </c>
      <c r="H18" s="15">
        <f t="shared" si="1"/>
        <v>10000</v>
      </c>
      <c r="I18" s="15">
        <f t="shared" si="2"/>
        <v>10000</v>
      </c>
      <c r="J18" s="10" t="s">
        <v>20</v>
      </c>
      <c r="K18" s="19">
        <v>50100367584379</v>
      </c>
      <c r="L18" s="6">
        <v>8859921803</v>
      </c>
      <c r="M18" s="11" t="s">
        <v>146</v>
      </c>
    </row>
    <row r="19" spans="1:13" s="2" customFormat="1" ht="27" customHeight="1">
      <c r="A19" s="17">
        <v>11</v>
      </c>
      <c r="B19" s="5" t="s">
        <v>42</v>
      </c>
      <c r="C19" s="5" t="s">
        <v>18</v>
      </c>
      <c r="D19" s="15">
        <v>6000</v>
      </c>
      <c r="E19" s="15">
        <f t="shared" si="0"/>
        <v>6000</v>
      </c>
      <c r="F19" s="16">
        <v>0</v>
      </c>
      <c r="G19" s="16">
        <v>0</v>
      </c>
      <c r="H19" s="15">
        <f t="shared" si="1"/>
        <v>6000</v>
      </c>
      <c r="I19" s="15">
        <f t="shared" si="2"/>
        <v>6000</v>
      </c>
      <c r="J19" s="10" t="s">
        <v>20</v>
      </c>
      <c r="K19" s="19">
        <v>430402120016217</v>
      </c>
      <c r="L19" s="6">
        <v>9580601498</v>
      </c>
      <c r="M19" s="11" t="s">
        <v>87</v>
      </c>
    </row>
    <row r="20" spans="1:13" s="2" customFormat="1" ht="27" customHeight="1">
      <c r="A20" s="17">
        <v>12</v>
      </c>
      <c r="B20" s="5" t="s">
        <v>98</v>
      </c>
      <c r="C20" s="5" t="s">
        <v>18</v>
      </c>
      <c r="D20" s="15">
        <v>6000</v>
      </c>
      <c r="E20" s="15">
        <f t="shared" si="0"/>
        <v>6000</v>
      </c>
      <c r="F20" s="16">
        <v>0</v>
      </c>
      <c r="G20" s="16">
        <v>0</v>
      </c>
      <c r="H20" s="15">
        <f t="shared" si="1"/>
        <v>6000</v>
      </c>
      <c r="I20" s="15">
        <f t="shared" si="2"/>
        <v>6000</v>
      </c>
      <c r="J20" s="10" t="s">
        <v>20</v>
      </c>
      <c r="K20" s="20">
        <v>745202120005838</v>
      </c>
      <c r="L20" s="7">
        <v>9511021020</v>
      </c>
      <c r="M20" s="11" t="s">
        <v>99</v>
      </c>
    </row>
    <row r="21" spans="1:13" s="2" customFormat="1" ht="27" customHeight="1">
      <c r="A21" s="17">
        <v>13</v>
      </c>
      <c r="B21" s="5" t="s">
        <v>100</v>
      </c>
      <c r="C21" s="5" t="s">
        <v>18</v>
      </c>
      <c r="D21" s="15">
        <v>5000</v>
      </c>
      <c r="E21" s="15">
        <f t="shared" si="0"/>
        <v>5000</v>
      </c>
      <c r="F21" s="16">
        <v>0</v>
      </c>
      <c r="G21" s="16">
        <v>0</v>
      </c>
      <c r="H21" s="15">
        <f t="shared" si="1"/>
        <v>5000</v>
      </c>
      <c r="I21" s="15">
        <f t="shared" si="2"/>
        <v>5000</v>
      </c>
      <c r="J21" s="10" t="s">
        <v>20</v>
      </c>
      <c r="K21" s="20">
        <v>356002120011690</v>
      </c>
      <c r="L21" s="7">
        <v>6307922066</v>
      </c>
      <c r="M21" s="11" t="s">
        <v>102</v>
      </c>
    </row>
    <row r="22" spans="1:13" s="2" customFormat="1" ht="27" customHeight="1">
      <c r="A22" s="17">
        <v>14</v>
      </c>
      <c r="B22" s="5" t="s">
        <v>101</v>
      </c>
      <c r="C22" s="5" t="s">
        <v>65</v>
      </c>
      <c r="D22" s="15">
        <v>5000</v>
      </c>
      <c r="E22" s="15">
        <f t="shared" si="0"/>
        <v>5000</v>
      </c>
      <c r="F22" s="16">
        <v>0</v>
      </c>
      <c r="G22" s="16">
        <v>0</v>
      </c>
      <c r="H22" s="15">
        <f t="shared" si="1"/>
        <v>5000</v>
      </c>
      <c r="I22" s="15">
        <f t="shared" si="2"/>
        <v>5000</v>
      </c>
      <c r="J22" s="10" t="s">
        <v>20</v>
      </c>
      <c r="K22" s="20">
        <v>745102120009919</v>
      </c>
      <c r="L22" s="14">
        <v>9628862106</v>
      </c>
      <c r="M22" s="11" t="s">
        <v>103</v>
      </c>
    </row>
    <row r="23" spans="1:13" s="2" customFormat="1" ht="27" customHeight="1">
      <c r="A23" s="17">
        <v>15</v>
      </c>
      <c r="B23" s="5" t="s">
        <v>138</v>
      </c>
      <c r="C23" s="5" t="s">
        <v>65</v>
      </c>
      <c r="D23" s="15">
        <v>5000</v>
      </c>
      <c r="E23" s="15">
        <f t="shared" si="0"/>
        <v>5000</v>
      </c>
      <c r="F23" s="16">
        <v>0</v>
      </c>
      <c r="G23" s="16">
        <v>0</v>
      </c>
      <c r="H23" s="15">
        <f t="shared" si="1"/>
        <v>5000</v>
      </c>
      <c r="I23" s="15">
        <f t="shared" si="2"/>
        <v>5000</v>
      </c>
      <c r="J23" s="10" t="s">
        <v>20</v>
      </c>
      <c r="K23" s="20">
        <v>44768550382</v>
      </c>
      <c r="L23" s="14">
        <v>9335318466</v>
      </c>
      <c r="M23" s="11" t="s">
        <v>83</v>
      </c>
    </row>
    <row r="24" spans="1:13" s="2" customFormat="1" ht="27" customHeight="1">
      <c r="A24" s="17">
        <v>16</v>
      </c>
      <c r="B24" s="5" t="s">
        <v>43</v>
      </c>
      <c r="C24" s="5" t="s">
        <v>17</v>
      </c>
      <c r="D24" s="15">
        <v>12000</v>
      </c>
      <c r="E24" s="15">
        <f t="shared" si="0"/>
        <v>12000</v>
      </c>
      <c r="F24" s="16">
        <v>0</v>
      </c>
      <c r="G24" s="16">
        <v>0</v>
      </c>
      <c r="H24" s="15">
        <f t="shared" si="1"/>
        <v>12000</v>
      </c>
      <c r="I24" s="15">
        <f t="shared" si="2"/>
        <v>12000</v>
      </c>
      <c r="J24" s="10" t="s">
        <v>20</v>
      </c>
      <c r="K24" s="20">
        <v>6347101003372</v>
      </c>
      <c r="L24" s="14">
        <v>9586828870</v>
      </c>
      <c r="M24" s="11" t="s">
        <v>30</v>
      </c>
    </row>
    <row r="25" spans="1:13" s="2" customFormat="1" ht="27" customHeight="1">
      <c r="A25" s="17">
        <v>17</v>
      </c>
      <c r="B25" s="5" t="s">
        <v>44</v>
      </c>
      <c r="C25" s="13" t="s">
        <v>21</v>
      </c>
      <c r="D25" s="15">
        <v>12000</v>
      </c>
      <c r="E25" s="15">
        <f t="shared" si="0"/>
        <v>12000</v>
      </c>
      <c r="F25" s="16">
        <v>0</v>
      </c>
      <c r="G25" s="16">
        <v>0</v>
      </c>
      <c r="H25" s="15">
        <f t="shared" si="1"/>
        <v>12000</v>
      </c>
      <c r="I25" s="15">
        <f t="shared" si="2"/>
        <v>12000</v>
      </c>
      <c r="J25" s="10" t="s">
        <v>20</v>
      </c>
      <c r="K25" s="20">
        <v>50100543624653</v>
      </c>
      <c r="L25" s="14">
        <v>6307738457</v>
      </c>
      <c r="M25" s="11" t="s">
        <v>23</v>
      </c>
    </row>
    <row r="26" spans="1:13" s="2" customFormat="1" ht="27" customHeight="1">
      <c r="A26" s="17">
        <v>18</v>
      </c>
      <c r="B26" s="5" t="s">
        <v>45</v>
      </c>
      <c r="C26" s="13" t="s">
        <v>68</v>
      </c>
      <c r="D26" s="15">
        <v>8000</v>
      </c>
      <c r="E26" s="15">
        <f t="shared" si="0"/>
        <v>8000</v>
      </c>
      <c r="F26" s="16">
        <v>0</v>
      </c>
      <c r="G26" s="16">
        <v>0</v>
      </c>
      <c r="H26" s="15">
        <f t="shared" si="1"/>
        <v>8000</v>
      </c>
      <c r="I26" s="15">
        <f t="shared" si="2"/>
        <v>8000</v>
      </c>
      <c r="J26" s="10" t="s">
        <v>20</v>
      </c>
      <c r="K26" s="20">
        <v>50100509941631</v>
      </c>
      <c r="L26" s="14">
        <v>9554651274</v>
      </c>
      <c r="M26" s="11" t="s">
        <v>34</v>
      </c>
    </row>
    <row r="27" spans="1:13" s="2" customFormat="1" ht="27" customHeight="1">
      <c r="A27" s="17">
        <v>19</v>
      </c>
      <c r="B27" s="13" t="s">
        <v>104</v>
      </c>
      <c r="C27" s="13" t="s">
        <v>68</v>
      </c>
      <c r="D27" s="15">
        <v>6000</v>
      </c>
      <c r="E27" s="15">
        <f t="shared" si="0"/>
        <v>6000</v>
      </c>
      <c r="F27" s="16">
        <v>0</v>
      </c>
      <c r="G27" s="16">
        <v>0</v>
      </c>
      <c r="H27" s="15">
        <f t="shared" si="1"/>
        <v>6000</v>
      </c>
      <c r="I27" s="15">
        <f t="shared" si="2"/>
        <v>6000</v>
      </c>
      <c r="J27" s="10" t="s">
        <v>20</v>
      </c>
      <c r="K27" s="20">
        <v>44768544258</v>
      </c>
      <c r="L27" s="14">
        <v>7408541432</v>
      </c>
      <c r="M27" s="11" t="s">
        <v>105</v>
      </c>
    </row>
    <row r="28" spans="1:13" s="2" customFormat="1" ht="27" customHeight="1">
      <c r="A28" s="17">
        <v>20</v>
      </c>
      <c r="B28" s="13" t="s">
        <v>106</v>
      </c>
      <c r="C28" s="13" t="s">
        <v>69</v>
      </c>
      <c r="D28" s="15">
        <v>69000</v>
      </c>
      <c r="E28" s="15">
        <f t="shared" si="0"/>
        <v>69000</v>
      </c>
      <c r="F28" s="16">
        <v>0</v>
      </c>
      <c r="G28" s="16">
        <v>0</v>
      </c>
      <c r="H28" s="15">
        <f t="shared" si="1"/>
        <v>69000</v>
      </c>
      <c r="I28" s="15">
        <f t="shared" si="2"/>
        <v>69000</v>
      </c>
      <c r="J28" s="10" t="s">
        <v>20</v>
      </c>
      <c r="K28" s="20">
        <v>50100686641072</v>
      </c>
      <c r="L28" s="14">
        <v>9821471009</v>
      </c>
      <c r="M28" s="11" t="s">
        <v>132</v>
      </c>
    </row>
    <row r="29" spans="1:13" s="2" customFormat="1" ht="27" customHeight="1">
      <c r="A29" s="17">
        <v>21</v>
      </c>
      <c r="B29" s="13" t="s">
        <v>46</v>
      </c>
      <c r="C29" s="13" t="s">
        <v>65</v>
      </c>
      <c r="D29" s="15">
        <v>6000</v>
      </c>
      <c r="E29" s="15">
        <f t="shared" si="0"/>
        <v>6000</v>
      </c>
      <c r="F29" s="16">
        <v>0</v>
      </c>
      <c r="G29" s="16">
        <v>0</v>
      </c>
      <c r="H29" s="15">
        <f t="shared" si="1"/>
        <v>6000</v>
      </c>
      <c r="I29" s="15">
        <f t="shared" si="2"/>
        <v>6000</v>
      </c>
      <c r="J29" s="10" t="s">
        <v>20</v>
      </c>
      <c r="K29" s="22">
        <v>35940201011285</v>
      </c>
      <c r="L29" s="14">
        <v>8173092458</v>
      </c>
      <c r="M29" s="11" t="s">
        <v>135</v>
      </c>
    </row>
    <row r="30" spans="1:13" s="2" customFormat="1" ht="27" customHeight="1">
      <c r="A30" s="17">
        <v>22</v>
      </c>
      <c r="B30" s="13" t="s">
        <v>35</v>
      </c>
      <c r="C30" s="13" t="s">
        <v>139</v>
      </c>
      <c r="D30" s="15">
        <v>45000</v>
      </c>
      <c r="E30" s="15">
        <f t="shared" si="0"/>
        <v>45000</v>
      </c>
      <c r="F30" s="16">
        <v>0</v>
      </c>
      <c r="G30" s="16">
        <v>0</v>
      </c>
      <c r="H30" s="15">
        <f t="shared" si="1"/>
        <v>45000</v>
      </c>
      <c r="I30" s="15">
        <f t="shared" si="2"/>
        <v>45000</v>
      </c>
      <c r="J30" s="10" t="s">
        <v>20</v>
      </c>
      <c r="K30" s="19">
        <v>50100021474203</v>
      </c>
      <c r="L30" s="14">
        <v>9918905644</v>
      </c>
      <c r="M30" s="11" t="s">
        <v>27</v>
      </c>
    </row>
    <row r="31" spans="1:13" s="2" customFormat="1" ht="30" customHeight="1">
      <c r="A31" s="17">
        <v>23</v>
      </c>
      <c r="B31" s="13" t="s">
        <v>107</v>
      </c>
      <c r="C31" s="13" t="s">
        <v>140</v>
      </c>
      <c r="D31" s="15">
        <v>6000</v>
      </c>
      <c r="E31" s="15">
        <f t="shared" si="0"/>
        <v>6000</v>
      </c>
      <c r="F31" s="16">
        <v>0</v>
      </c>
      <c r="G31" s="16">
        <v>0</v>
      </c>
      <c r="H31" s="15">
        <f t="shared" si="1"/>
        <v>6000</v>
      </c>
      <c r="I31" s="15">
        <f t="shared" si="2"/>
        <v>6000</v>
      </c>
      <c r="J31" s="10" t="s">
        <v>20</v>
      </c>
      <c r="K31" s="20">
        <v>658502010009292</v>
      </c>
      <c r="L31" s="14">
        <v>9120105920</v>
      </c>
      <c r="M31" s="11" t="s">
        <v>110</v>
      </c>
    </row>
    <row r="32" spans="1:13" s="2" customFormat="1" ht="27" customHeight="1">
      <c r="A32" s="17">
        <v>24</v>
      </c>
      <c r="B32" s="13" t="s">
        <v>108</v>
      </c>
      <c r="C32" s="13" t="s">
        <v>141</v>
      </c>
      <c r="D32" s="15">
        <v>5000</v>
      </c>
      <c r="E32" s="15">
        <f t="shared" si="0"/>
        <v>5000</v>
      </c>
      <c r="F32" s="16">
        <v>0</v>
      </c>
      <c r="G32" s="16">
        <v>0</v>
      </c>
      <c r="H32" s="15">
        <f t="shared" si="1"/>
        <v>5000</v>
      </c>
      <c r="I32" s="15">
        <f t="shared" si="2"/>
        <v>5000</v>
      </c>
      <c r="J32" s="10" t="s">
        <v>20</v>
      </c>
      <c r="K32" s="20">
        <v>3636021200354</v>
      </c>
      <c r="L32" s="14">
        <v>8623821653</v>
      </c>
      <c r="M32" s="11" t="s">
        <v>109</v>
      </c>
    </row>
    <row r="33" spans="1:13" s="2" customFormat="1" ht="27" customHeight="1">
      <c r="A33" s="17">
        <v>25</v>
      </c>
      <c r="B33" s="13" t="s">
        <v>47</v>
      </c>
      <c r="C33" s="13" t="s">
        <v>65</v>
      </c>
      <c r="D33" s="15">
        <v>7000</v>
      </c>
      <c r="E33" s="15">
        <f t="shared" si="0"/>
        <v>7000</v>
      </c>
      <c r="F33" s="16">
        <v>0</v>
      </c>
      <c r="G33" s="16">
        <v>0</v>
      </c>
      <c r="H33" s="15">
        <f t="shared" si="1"/>
        <v>7000</v>
      </c>
      <c r="I33" s="15">
        <f t="shared" si="2"/>
        <v>7000</v>
      </c>
      <c r="J33" s="10" t="s">
        <v>20</v>
      </c>
      <c r="K33" s="20">
        <v>50100523809960</v>
      </c>
      <c r="L33" s="14">
        <v>9198870119</v>
      </c>
      <c r="M33" s="11" t="s">
        <v>25</v>
      </c>
    </row>
    <row r="34" spans="1:13" s="2" customFormat="1" ht="27" customHeight="1">
      <c r="A34" s="17">
        <v>26</v>
      </c>
      <c r="B34" s="13" t="s">
        <v>48</v>
      </c>
      <c r="C34" s="13" t="s">
        <v>71</v>
      </c>
      <c r="D34" s="15">
        <v>6000</v>
      </c>
      <c r="E34" s="15">
        <f t="shared" si="0"/>
        <v>6000</v>
      </c>
      <c r="F34" s="16">
        <v>0</v>
      </c>
      <c r="G34" s="16">
        <v>0</v>
      </c>
      <c r="H34" s="15">
        <f t="shared" si="1"/>
        <v>6000</v>
      </c>
      <c r="I34" s="15">
        <f t="shared" si="2"/>
        <v>6000</v>
      </c>
      <c r="J34" s="10" t="s">
        <v>20</v>
      </c>
      <c r="K34" s="20">
        <v>414572080010173</v>
      </c>
      <c r="L34" s="14">
        <v>7800578324</v>
      </c>
      <c r="M34" s="11" t="s">
        <v>88</v>
      </c>
    </row>
    <row r="35" spans="1:13" s="2" customFormat="1" ht="27" customHeight="1">
      <c r="A35" s="17">
        <v>27</v>
      </c>
      <c r="B35" s="13" t="s">
        <v>49</v>
      </c>
      <c r="C35" s="13" t="s">
        <v>72</v>
      </c>
      <c r="D35" s="15">
        <v>6000</v>
      </c>
      <c r="E35" s="15">
        <f t="shared" si="0"/>
        <v>6000</v>
      </c>
      <c r="F35" s="16">
        <v>0</v>
      </c>
      <c r="G35" s="16">
        <v>0</v>
      </c>
      <c r="H35" s="15">
        <f t="shared" si="1"/>
        <v>6000</v>
      </c>
      <c r="I35" s="15">
        <f t="shared" si="2"/>
        <v>6000</v>
      </c>
      <c r="J35" s="10" t="s">
        <v>20</v>
      </c>
      <c r="K35" s="20">
        <v>414572020001342</v>
      </c>
      <c r="L35" s="14">
        <v>9792647655</v>
      </c>
      <c r="M35" s="11" t="s">
        <v>33</v>
      </c>
    </row>
    <row r="36" spans="1:13" s="2" customFormat="1" ht="27" customHeight="1">
      <c r="A36" s="17">
        <v>28</v>
      </c>
      <c r="B36" s="13" t="s">
        <v>50</v>
      </c>
      <c r="C36" s="13" t="s">
        <v>73</v>
      </c>
      <c r="D36" s="15">
        <v>9000</v>
      </c>
      <c r="E36" s="15">
        <f t="shared" si="0"/>
        <v>9000</v>
      </c>
      <c r="F36" s="16">
        <v>0</v>
      </c>
      <c r="G36" s="16">
        <v>0</v>
      </c>
      <c r="H36" s="15">
        <f t="shared" si="1"/>
        <v>9000</v>
      </c>
      <c r="I36" s="15">
        <f t="shared" si="2"/>
        <v>9000</v>
      </c>
      <c r="J36" s="10" t="s">
        <v>20</v>
      </c>
      <c r="K36" s="20">
        <v>44607819435</v>
      </c>
      <c r="L36" s="14">
        <v>7234081884</v>
      </c>
      <c r="M36" s="11" t="s">
        <v>89</v>
      </c>
    </row>
    <row r="37" spans="1:13" s="2" customFormat="1" ht="27" customHeight="1">
      <c r="A37" s="17">
        <v>29</v>
      </c>
      <c r="B37" s="13" t="s">
        <v>51</v>
      </c>
      <c r="C37" s="13" t="s">
        <v>74</v>
      </c>
      <c r="D37" s="15">
        <v>6000</v>
      </c>
      <c r="E37" s="15">
        <f t="shared" si="0"/>
        <v>6000</v>
      </c>
      <c r="F37" s="16">
        <v>0</v>
      </c>
      <c r="G37" s="16">
        <v>0</v>
      </c>
      <c r="H37" s="15">
        <f t="shared" si="1"/>
        <v>6000</v>
      </c>
      <c r="I37" s="15">
        <f t="shared" si="2"/>
        <v>6000</v>
      </c>
      <c r="J37" s="10" t="s">
        <v>20</v>
      </c>
      <c r="K37" s="20">
        <v>50100529714074</v>
      </c>
      <c r="L37" s="14">
        <v>7607968138</v>
      </c>
      <c r="M37" s="11" t="s">
        <v>22</v>
      </c>
    </row>
    <row r="38" spans="1:13" s="2" customFormat="1" ht="27" customHeight="1">
      <c r="A38" s="17">
        <v>30</v>
      </c>
      <c r="B38" s="13" t="s">
        <v>52</v>
      </c>
      <c r="C38" s="13" t="s">
        <v>75</v>
      </c>
      <c r="D38" s="15">
        <v>12000</v>
      </c>
      <c r="E38" s="15">
        <f t="shared" si="0"/>
        <v>12000</v>
      </c>
      <c r="F38" s="16">
        <v>0</v>
      </c>
      <c r="G38" s="16">
        <v>0</v>
      </c>
      <c r="H38" s="15">
        <f t="shared" si="1"/>
        <v>12000</v>
      </c>
      <c r="I38" s="15">
        <f t="shared" si="2"/>
        <v>12000</v>
      </c>
      <c r="J38" s="10" t="s">
        <v>20</v>
      </c>
      <c r="K38" s="20">
        <v>50770100004444</v>
      </c>
      <c r="L38" s="14">
        <v>7021622823</v>
      </c>
      <c r="M38" s="11" t="s">
        <v>131</v>
      </c>
    </row>
    <row r="39" spans="1:13" s="2" customFormat="1" ht="27" customHeight="1">
      <c r="A39" s="17">
        <v>31</v>
      </c>
      <c r="B39" s="13" t="s">
        <v>53</v>
      </c>
      <c r="C39" s="13" t="s">
        <v>74</v>
      </c>
      <c r="D39" s="15">
        <v>7500</v>
      </c>
      <c r="E39" s="15">
        <f t="shared" si="0"/>
        <v>7500</v>
      </c>
      <c r="F39" s="16">
        <v>0</v>
      </c>
      <c r="G39" s="16">
        <v>0</v>
      </c>
      <c r="H39" s="15">
        <f t="shared" si="1"/>
        <v>7500</v>
      </c>
      <c r="I39" s="15">
        <f t="shared" si="2"/>
        <v>7500</v>
      </c>
      <c r="J39" s="10" t="s">
        <v>20</v>
      </c>
      <c r="K39" s="20">
        <v>359402120013793</v>
      </c>
      <c r="L39" s="14">
        <v>9554787515</v>
      </c>
      <c r="M39" s="11" t="s">
        <v>32</v>
      </c>
    </row>
    <row r="40" spans="1:13" s="2" customFormat="1" ht="27" customHeight="1">
      <c r="A40" s="17">
        <v>32</v>
      </c>
      <c r="B40" s="13" t="s">
        <v>95</v>
      </c>
      <c r="C40" s="13" t="s">
        <v>76</v>
      </c>
      <c r="D40" s="15">
        <v>10000</v>
      </c>
      <c r="E40" s="15">
        <f t="shared" si="0"/>
        <v>10000</v>
      </c>
      <c r="F40" s="16">
        <v>0</v>
      </c>
      <c r="G40" s="16">
        <v>0</v>
      </c>
      <c r="H40" s="15">
        <f t="shared" si="1"/>
        <v>10000</v>
      </c>
      <c r="I40" s="15">
        <f t="shared" si="2"/>
        <v>10000</v>
      </c>
      <c r="J40" s="10" t="s">
        <v>20</v>
      </c>
      <c r="K40" s="20">
        <v>50100656534344</v>
      </c>
      <c r="L40" s="14">
        <v>9860285492</v>
      </c>
      <c r="M40" s="11" t="s">
        <v>31</v>
      </c>
    </row>
    <row r="41" spans="1:13" s="2" customFormat="1" ht="27" customHeight="1">
      <c r="A41" s="17">
        <v>33</v>
      </c>
      <c r="B41" s="13" t="s">
        <v>54</v>
      </c>
      <c r="C41" s="13" t="s">
        <v>77</v>
      </c>
      <c r="D41" s="15">
        <v>10000</v>
      </c>
      <c r="E41" s="15">
        <f t="shared" si="0"/>
        <v>10000</v>
      </c>
      <c r="F41" s="16">
        <v>0</v>
      </c>
      <c r="G41" s="16">
        <v>0</v>
      </c>
      <c r="H41" s="15">
        <f t="shared" si="1"/>
        <v>10000</v>
      </c>
      <c r="I41" s="15">
        <f t="shared" si="2"/>
        <v>10000</v>
      </c>
      <c r="J41" s="10" t="s">
        <v>20</v>
      </c>
      <c r="K41" s="20">
        <v>359402120006788</v>
      </c>
      <c r="L41" s="14">
        <v>7052141401</v>
      </c>
      <c r="M41" s="11" t="s">
        <v>90</v>
      </c>
    </row>
    <row r="42" spans="1:13" s="2" customFormat="1" ht="27" customHeight="1">
      <c r="A42" s="17">
        <v>34</v>
      </c>
      <c r="B42" s="13" t="s">
        <v>137</v>
      </c>
      <c r="C42" s="13" t="s">
        <v>74</v>
      </c>
      <c r="D42" s="15">
        <v>5000</v>
      </c>
      <c r="E42" s="15">
        <f t="shared" si="0"/>
        <v>5000</v>
      </c>
      <c r="F42" s="16">
        <v>0</v>
      </c>
      <c r="G42" s="16">
        <v>0</v>
      </c>
      <c r="H42" s="15">
        <f t="shared" si="1"/>
        <v>5000</v>
      </c>
      <c r="I42" s="15">
        <f t="shared" si="2"/>
        <v>5000</v>
      </c>
      <c r="J42" s="10" t="s">
        <v>20</v>
      </c>
      <c r="K42" s="20">
        <v>695302130000308</v>
      </c>
      <c r="L42" s="14">
        <v>9555109391</v>
      </c>
      <c r="M42" s="11" t="s">
        <v>83</v>
      </c>
    </row>
    <row r="43" spans="1:13" s="2" customFormat="1" ht="27" customHeight="1">
      <c r="A43" s="17">
        <v>35</v>
      </c>
      <c r="B43" s="13" t="s">
        <v>55</v>
      </c>
      <c r="C43" s="13" t="s">
        <v>78</v>
      </c>
      <c r="D43" s="15">
        <v>12000</v>
      </c>
      <c r="E43" s="15">
        <f t="shared" si="0"/>
        <v>12000</v>
      </c>
      <c r="F43" s="16">
        <v>0</v>
      </c>
      <c r="G43" s="16">
        <v>0</v>
      </c>
      <c r="H43" s="15">
        <f t="shared" si="1"/>
        <v>12000</v>
      </c>
      <c r="I43" s="15">
        <f t="shared" si="2"/>
        <v>12000</v>
      </c>
      <c r="J43" s="10" t="s">
        <v>20</v>
      </c>
      <c r="K43" s="20">
        <v>50100835019833</v>
      </c>
      <c r="L43" s="14">
        <v>6392625092</v>
      </c>
      <c r="M43" s="11" t="s">
        <v>91</v>
      </c>
    </row>
    <row r="44" spans="1:13" s="2" customFormat="1" ht="30" customHeight="1">
      <c r="A44" s="17">
        <v>36</v>
      </c>
      <c r="B44" s="13" t="s">
        <v>111</v>
      </c>
      <c r="C44" s="13" t="s">
        <v>74</v>
      </c>
      <c r="D44" s="15">
        <v>6000</v>
      </c>
      <c r="E44" s="15">
        <f t="shared" si="0"/>
        <v>6000</v>
      </c>
      <c r="F44" s="16">
        <v>0</v>
      </c>
      <c r="G44" s="16">
        <v>0</v>
      </c>
      <c r="H44" s="15">
        <f t="shared" si="1"/>
        <v>6000</v>
      </c>
      <c r="I44" s="15">
        <f t="shared" si="2"/>
        <v>6000</v>
      </c>
      <c r="J44" s="10" t="s">
        <v>20</v>
      </c>
      <c r="K44" s="20">
        <v>636502120028991</v>
      </c>
      <c r="L44" s="14">
        <v>8840551221</v>
      </c>
      <c r="M44" s="11" t="s">
        <v>112</v>
      </c>
    </row>
    <row r="45" spans="1:13" s="2" customFormat="1" ht="30" customHeight="1">
      <c r="A45" s="17">
        <v>37</v>
      </c>
      <c r="B45" s="13" t="s">
        <v>147</v>
      </c>
      <c r="C45" s="13" t="s">
        <v>70</v>
      </c>
      <c r="D45" s="15">
        <v>10000</v>
      </c>
      <c r="E45" s="15">
        <f t="shared" si="0"/>
        <v>10000</v>
      </c>
      <c r="F45" s="16">
        <v>0</v>
      </c>
      <c r="G45" s="16">
        <v>0</v>
      </c>
      <c r="H45" s="15">
        <f t="shared" si="1"/>
        <v>10000</v>
      </c>
      <c r="I45" s="15">
        <f t="shared" si="2"/>
        <v>10000</v>
      </c>
      <c r="J45" s="10" t="s">
        <v>20</v>
      </c>
      <c r="K45" s="20">
        <v>50100367586092</v>
      </c>
      <c r="L45" s="14">
        <v>8795027775</v>
      </c>
      <c r="M45" s="11" t="s">
        <v>148</v>
      </c>
    </row>
    <row r="46" spans="1:13" s="2" customFormat="1" ht="27" customHeight="1">
      <c r="A46" s="17">
        <v>38</v>
      </c>
      <c r="B46" s="13" t="s">
        <v>56</v>
      </c>
      <c r="C46" s="13" t="s">
        <v>73</v>
      </c>
      <c r="D46" s="15">
        <v>9000</v>
      </c>
      <c r="E46" s="15">
        <f t="shared" si="0"/>
        <v>9000</v>
      </c>
      <c r="F46" s="16">
        <v>0</v>
      </c>
      <c r="G46" s="16">
        <v>0</v>
      </c>
      <c r="H46" s="15">
        <f t="shared" si="1"/>
        <v>9000</v>
      </c>
      <c r="I46" s="15">
        <f t="shared" si="2"/>
        <v>9000</v>
      </c>
      <c r="J46" s="10" t="s">
        <v>20</v>
      </c>
      <c r="K46" s="20">
        <v>3692001507909310</v>
      </c>
      <c r="L46" s="14">
        <v>9598476919</v>
      </c>
      <c r="M46" s="11" t="s">
        <v>26</v>
      </c>
    </row>
    <row r="47" spans="1:13" s="2" customFormat="1" ht="27" customHeight="1">
      <c r="A47" s="17">
        <v>39</v>
      </c>
      <c r="B47" s="13" t="s">
        <v>57</v>
      </c>
      <c r="C47" s="13" t="s">
        <v>74</v>
      </c>
      <c r="D47" s="15">
        <v>5500</v>
      </c>
      <c r="E47" s="15">
        <f t="shared" si="0"/>
        <v>5500</v>
      </c>
      <c r="F47" s="16">
        <v>0</v>
      </c>
      <c r="G47" s="16">
        <v>0</v>
      </c>
      <c r="H47" s="15">
        <f t="shared" si="1"/>
        <v>5500</v>
      </c>
      <c r="I47" s="15">
        <f t="shared" si="2"/>
        <v>5500</v>
      </c>
      <c r="J47" s="10" t="s">
        <v>20</v>
      </c>
      <c r="K47" s="23">
        <v>5725010007596</v>
      </c>
      <c r="L47" s="14">
        <v>8218723061</v>
      </c>
      <c r="M47" s="11" t="s">
        <v>83</v>
      </c>
    </row>
    <row r="48" spans="1:13" s="2" customFormat="1" ht="27" customHeight="1">
      <c r="A48" s="17">
        <v>40</v>
      </c>
      <c r="B48" s="13" t="s">
        <v>58</v>
      </c>
      <c r="C48" s="13" t="s">
        <v>79</v>
      </c>
      <c r="D48" s="15">
        <v>6000</v>
      </c>
      <c r="E48" s="15">
        <f t="shared" si="0"/>
        <v>6000</v>
      </c>
      <c r="F48" s="16">
        <v>0</v>
      </c>
      <c r="G48" s="16">
        <v>0</v>
      </c>
      <c r="H48" s="15">
        <f t="shared" si="1"/>
        <v>6000</v>
      </c>
      <c r="I48" s="15">
        <f t="shared" si="2"/>
        <v>6000</v>
      </c>
      <c r="J48" s="10" t="s">
        <v>20</v>
      </c>
      <c r="K48" s="20">
        <v>42155606636</v>
      </c>
      <c r="L48" s="14">
        <v>7052946592</v>
      </c>
      <c r="M48" s="11" t="s">
        <v>94</v>
      </c>
    </row>
    <row r="49" spans="1:13" s="2" customFormat="1" ht="27" customHeight="1">
      <c r="A49" s="17">
        <v>41</v>
      </c>
      <c r="B49" s="13" t="s">
        <v>59</v>
      </c>
      <c r="C49" s="13" t="s">
        <v>74</v>
      </c>
      <c r="D49" s="15">
        <v>5000</v>
      </c>
      <c r="E49" s="15">
        <f t="shared" si="0"/>
        <v>5000</v>
      </c>
      <c r="F49" s="16">
        <v>0</v>
      </c>
      <c r="G49" s="16">
        <v>0</v>
      </c>
      <c r="H49" s="15">
        <f t="shared" si="1"/>
        <v>5000</v>
      </c>
      <c r="I49" s="15">
        <f t="shared" si="2"/>
        <v>5000</v>
      </c>
      <c r="J49" s="10" t="s">
        <v>20</v>
      </c>
      <c r="K49" s="20">
        <v>359402010106775</v>
      </c>
      <c r="L49" s="14">
        <v>9792779736</v>
      </c>
      <c r="M49" s="11" t="s">
        <v>83</v>
      </c>
    </row>
    <row r="50" spans="1:13" s="2" customFormat="1" ht="29.25" customHeight="1">
      <c r="A50" s="17">
        <v>42</v>
      </c>
      <c r="B50" s="13" t="s">
        <v>60</v>
      </c>
      <c r="C50" s="13" t="s">
        <v>80</v>
      </c>
      <c r="D50" s="15">
        <v>17000</v>
      </c>
      <c r="E50" s="15">
        <f t="shared" si="0"/>
        <v>17000</v>
      </c>
      <c r="F50" s="16">
        <v>0</v>
      </c>
      <c r="G50" s="16">
        <v>0</v>
      </c>
      <c r="H50" s="15">
        <f t="shared" si="1"/>
        <v>17000</v>
      </c>
      <c r="I50" s="15">
        <f t="shared" si="2"/>
        <v>17000</v>
      </c>
      <c r="J50" s="10" t="s">
        <v>20</v>
      </c>
      <c r="K50" s="20">
        <v>50100529714140</v>
      </c>
      <c r="L50" s="14">
        <v>8739099023</v>
      </c>
      <c r="M50" s="11" t="s">
        <v>93</v>
      </c>
    </row>
    <row r="51" spans="1:13" s="2" customFormat="1" ht="27" customHeight="1">
      <c r="A51" s="17">
        <v>43</v>
      </c>
      <c r="B51" s="13" t="s">
        <v>61</v>
      </c>
      <c r="C51" s="13" t="s">
        <v>80</v>
      </c>
      <c r="D51" s="15">
        <v>6000</v>
      </c>
      <c r="E51" s="15">
        <f t="shared" si="0"/>
        <v>6000</v>
      </c>
      <c r="F51" s="16">
        <v>0</v>
      </c>
      <c r="G51" s="16">
        <v>0</v>
      </c>
      <c r="H51" s="15">
        <f t="shared" si="1"/>
        <v>6000</v>
      </c>
      <c r="I51" s="15">
        <f t="shared" si="2"/>
        <v>6000</v>
      </c>
      <c r="J51" s="10" t="s">
        <v>20</v>
      </c>
      <c r="K51" s="20">
        <v>43389537408</v>
      </c>
      <c r="L51" s="14">
        <v>9651842958</v>
      </c>
      <c r="M51" s="11" t="s">
        <v>82</v>
      </c>
    </row>
    <row r="52" spans="1:13" s="2" customFormat="1" ht="30.75" customHeight="1">
      <c r="A52" s="17">
        <v>44</v>
      </c>
      <c r="B52" s="13" t="s">
        <v>113</v>
      </c>
      <c r="C52" s="13" t="s">
        <v>74</v>
      </c>
      <c r="D52" s="15">
        <v>5000</v>
      </c>
      <c r="E52" s="15">
        <f t="shared" si="0"/>
        <v>5000</v>
      </c>
      <c r="F52" s="16">
        <v>0</v>
      </c>
      <c r="G52" s="16">
        <v>0</v>
      </c>
      <c r="H52" s="15">
        <f t="shared" si="1"/>
        <v>5000</v>
      </c>
      <c r="I52" s="15">
        <f t="shared" si="2"/>
        <v>5000</v>
      </c>
      <c r="J52" s="10" t="s">
        <v>20</v>
      </c>
      <c r="K52" s="20">
        <v>44347643779</v>
      </c>
      <c r="L52" s="14">
        <v>9871598118</v>
      </c>
      <c r="M52" s="11" t="s">
        <v>114</v>
      </c>
    </row>
    <row r="53" spans="1:13" s="2" customFormat="1" ht="27" customHeight="1">
      <c r="A53" s="17">
        <v>45</v>
      </c>
      <c r="B53" s="13" t="s">
        <v>128</v>
      </c>
      <c r="C53" s="13" t="s">
        <v>79</v>
      </c>
      <c r="D53" s="15">
        <v>6000</v>
      </c>
      <c r="E53" s="15">
        <f t="shared" si="0"/>
        <v>6000</v>
      </c>
      <c r="F53" s="16">
        <v>0</v>
      </c>
      <c r="G53" s="16">
        <v>0</v>
      </c>
      <c r="H53" s="15">
        <f t="shared" si="1"/>
        <v>6000</v>
      </c>
      <c r="I53" s="15">
        <f t="shared" si="2"/>
        <v>6000</v>
      </c>
      <c r="J53" s="10" t="s">
        <v>20</v>
      </c>
      <c r="K53" s="18" t="s">
        <v>129</v>
      </c>
      <c r="L53" s="14">
        <v>8737076599</v>
      </c>
      <c r="M53" s="11" t="s">
        <v>130</v>
      </c>
    </row>
    <row r="54" spans="1:13" s="2" customFormat="1" ht="28.9" customHeight="1">
      <c r="A54" s="17">
        <v>46</v>
      </c>
      <c r="B54" s="13" t="s">
        <v>115</v>
      </c>
      <c r="C54" s="13" t="s">
        <v>119</v>
      </c>
      <c r="D54" s="15">
        <v>56100</v>
      </c>
      <c r="E54" s="15">
        <f t="shared" si="0"/>
        <v>56100</v>
      </c>
      <c r="F54" s="16">
        <v>0</v>
      </c>
      <c r="G54" s="16">
        <v>0</v>
      </c>
      <c r="H54" s="15">
        <f t="shared" si="1"/>
        <v>56100</v>
      </c>
      <c r="I54" s="15">
        <f t="shared" si="2"/>
        <v>56100</v>
      </c>
      <c r="J54" s="10" t="s">
        <v>20</v>
      </c>
      <c r="K54" s="20">
        <v>27790100033506</v>
      </c>
      <c r="L54" s="14">
        <v>9918364449</v>
      </c>
      <c r="M54" s="11" t="s">
        <v>133</v>
      </c>
    </row>
    <row r="55" spans="1:13" s="2" customFormat="1" ht="28.9" customHeight="1">
      <c r="A55" s="17">
        <v>47</v>
      </c>
      <c r="B55" s="13" t="s">
        <v>116</v>
      </c>
      <c r="C55" s="13" t="s">
        <v>70</v>
      </c>
      <c r="D55" s="15">
        <v>7000</v>
      </c>
      <c r="E55" s="15">
        <f t="shared" si="0"/>
        <v>7000</v>
      </c>
      <c r="F55" s="16">
        <v>0</v>
      </c>
      <c r="G55" s="16">
        <v>0</v>
      </c>
      <c r="H55" s="15">
        <f t="shared" si="1"/>
        <v>7000</v>
      </c>
      <c r="I55" s="15">
        <f t="shared" si="2"/>
        <v>7000</v>
      </c>
      <c r="J55" s="10" t="s">
        <v>20</v>
      </c>
      <c r="K55" s="20">
        <v>712102120006844</v>
      </c>
      <c r="L55" s="14">
        <v>8173049094</v>
      </c>
      <c r="M55" s="11" t="s">
        <v>122</v>
      </c>
    </row>
    <row r="56" spans="1:13" s="2" customFormat="1" ht="27" customHeight="1">
      <c r="A56" s="17">
        <v>48</v>
      </c>
      <c r="B56" s="13" t="s">
        <v>117</v>
      </c>
      <c r="C56" s="13" t="s">
        <v>65</v>
      </c>
      <c r="D56" s="15">
        <v>5000</v>
      </c>
      <c r="E56" s="15">
        <f t="shared" si="0"/>
        <v>5000</v>
      </c>
      <c r="F56" s="16">
        <v>0</v>
      </c>
      <c r="G56" s="16">
        <v>0</v>
      </c>
      <c r="H56" s="15">
        <f t="shared" si="1"/>
        <v>5000</v>
      </c>
      <c r="I56" s="15">
        <f t="shared" si="2"/>
        <v>5000</v>
      </c>
      <c r="J56" s="10" t="s">
        <v>20</v>
      </c>
      <c r="K56" s="20">
        <v>400402010360639</v>
      </c>
      <c r="L56" s="14">
        <v>9140453052</v>
      </c>
      <c r="M56" s="11" t="s">
        <v>121</v>
      </c>
    </row>
    <row r="57" spans="1:13" s="2" customFormat="1" ht="30" customHeight="1">
      <c r="A57" s="17">
        <v>49</v>
      </c>
      <c r="B57" s="13" t="s">
        <v>47</v>
      </c>
      <c r="C57" s="13" t="s">
        <v>120</v>
      </c>
      <c r="D57" s="15">
        <v>7000</v>
      </c>
      <c r="E57" s="15">
        <f t="shared" si="0"/>
        <v>7000</v>
      </c>
      <c r="F57" s="16">
        <v>0</v>
      </c>
      <c r="G57" s="16">
        <v>0</v>
      </c>
      <c r="H57" s="15">
        <f t="shared" si="1"/>
        <v>7000</v>
      </c>
      <c r="I57" s="15">
        <f t="shared" si="2"/>
        <v>7000</v>
      </c>
      <c r="J57" s="10" t="s">
        <v>20</v>
      </c>
      <c r="K57" s="20">
        <v>50100523809960</v>
      </c>
      <c r="L57" s="14">
        <v>9198870119</v>
      </c>
      <c r="M57" s="11" t="s">
        <v>25</v>
      </c>
    </row>
    <row r="58" spans="1:13" s="2" customFormat="1" ht="29.45" customHeight="1">
      <c r="A58" s="17">
        <v>50</v>
      </c>
      <c r="B58" s="13" t="s">
        <v>118</v>
      </c>
      <c r="C58" s="13" t="s">
        <v>65</v>
      </c>
      <c r="D58" s="15">
        <v>5000</v>
      </c>
      <c r="E58" s="15">
        <f t="shared" si="0"/>
        <v>5000</v>
      </c>
      <c r="F58" s="16">
        <v>0</v>
      </c>
      <c r="G58" s="16">
        <v>0</v>
      </c>
      <c r="H58" s="15">
        <f t="shared" si="1"/>
        <v>5000</v>
      </c>
      <c r="I58" s="15">
        <f t="shared" si="2"/>
        <v>5000</v>
      </c>
      <c r="J58" s="10" t="s">
        <v>20</v>
      </c>
      <c r="K58" s="20">
        <v>415702120011978</v>
      </c>
      <c r="L58" s="14">
        <v>8007271450</v>
      </c>
      <c r="M58" s="11" t="s">
        <v>123</v>
      </c>
    </row>
    <row r="59" spans="1:13" s="2" customFormat="1" ht="27" customHeight="1">
      <c r="A59" s="17">
        <v>51</v>
      </c>
      <c r="B59" s="13" t="s">
        <v>136</v>
      </c>
      <c r="C59" s="13" t="s">
        <v>81</v>
      </c>
      <c r="D59" s="15">
        <v>12000</v>
      </c>
      <c r="E59" s="15">
        <f t="shared" si="0"/>
        <v>12000</v>
      </c>
      <c r="F59" s="16">
        <v>0</v>
      </c>
      <c r="G59" s="16">
        <v>0</v>
      </c>
      <c r="H59" s="15">
        <f t="shared" si="1"/>
        <v>12000</v>
      </c>
      <c r="I59" s="15">
        <f t="shared" si="2"/>
        <v>12000</v>
      </c>
      <c r="J59" s="10" t="s">
        <v>20</v>
      </c>
      <c r="K59" s="20">
        <v>24380100004147</v>
      </c>
      <c r="L59" s="14">
        <v>9565300403</v>
      </c>
      <c r="M59" s="11" t="s">
        <v>134</v>
      </c>
    </row>
    <row r="60" spans="1:13" s="2" customFormat="1" ht="27" customHeight="1">
      <c r="A60" s="17">
        <v>52</v>
      </c>
      <c r="B60" s="13" t="s">
        <v>124</v>
      </c>
      <c r="C60" s="13" t="s">
        <v>70</v>
      </c>
      <c r="D60" s="15">
        <v>6000</v>
      </c>
      <c r="E60" s="15">
        <f t="shared" si="0"/>
        <v>6000</v>
      </c>
      <c r="F60" s="16">
        <v>0</v>
      </c>
      <c r="G60" s="16">
        <v>0</v>
      </c>
      <c r="H60" s="15">
        <f t="shared" si="1"/>
        <v>6000</v>
      </c>
      <c r="I60" s="15">
        <f t="shared" si="2"/>
        <v>6000</v>
      </c>
      <c r="J60" s="10" t="s">
        <v>20</v>
      </c>
      <c r="K60" s="20">
        <v>389502010980207</v>
      </c>
      <c r="L60" s="14">
        <v>9026014391</v>
      </c>
      <c r="M60" s="11" t="s">
        <v>126</v>
      </c>
    </row>
    <row r="61" spans="1:13" s="2" customFormat="1" ht="27" customHeight="1">
      <c r="A61" s="17">
        <v>53</v>
      </c>
      <c r="B61" s="13" t="s">
        <v>125</v>
      </c>
      <c r="C61" s="13" t="s">
        <v>65</v>
      </c>
      <c r="D61" s="15">
        <v>5000</v>
      </c>
      <c r="E61" s="15">
        <f t="shared" ref="E61:E62" si="3">D61</f>
        <v>5000</v>
      </c>
      <c r="F61" s="16">
        <v>0</v>
      </c>
      <c r="G61" s="16">
        <v>0</v>
      </c>
      <c r="H61" s="15">
        <f t="shared" ref="H61:H62" si="4">D61</f>
        <v>5000</v>
      </c>
      <c r="I61" s="15">
        <f t="shared" ref="I61:I62" si="5">D61</f>
        <v>5000</v>
      </c>
      <c r="J61" s="10" t="s">
        <v>20</v>
      </c>
      <c r="K61" s="20">
        <v>636502120008209</v>
      </c>
      <c r="L61" s="14">
        <v>9839247732</v>
      </c>
      <c r="M61" s="11" t="s">
        <v>127</v>
      </c>
    </row>
    <row r="62" spans="1:13" s="2" customFormat="1" ht="27" customHeight="1">
      <c r="A62" s="17">
        <v>54</v>
      </c>
      <c r="B62" s="13" t="s">
        <v>151</v>
      </c>
      <c r="C62" s="13" t="s">
        <v>154</v>
      </c>
      <c r="D62" s="15">
        <v>15000</v>
      </c>
      <c r="E62" s="15">
        <f t="shared" si="3"/>
        <v>15000</v>
      </c>
      <c r="F62" s="16">
        <v>0</v>
      </c>
      <c r="G62" s="16">
        <v>0</v>
      </c>
      <c r="H62" s="15">
        <f t="shared" si="4"/>
        <v>15000</v>
      </c>
      <c r="I62" s="15">
        <f t="shared" si="5"/>
        <v>15000</v>
      </c>
      <c r="J62" s="10" t="s">
        <v>20</v>
      </c>
      <c r="K62" s="20">
        <v>520291016032311</v>
      </c>
      <c r="L62" s="14">
        <v>9557885997</v>
      </c>
      <c r="M62" s="11" t="s">
        <v>92</v>
      </c>
    </row>
    <row r="63" spans="1:13" s="2" customFormat="1" ht="27" customHeight="1">
      <c r="A63" s="17">
        <v>55</v>
      </c>
      <c r="B63" s="13" t="s">
        <v>152</v>
      </c>
      <c r="C63" s="13" t="s">
        <v>153</v>
      </c>
      <c r="D63" s="15" t="s">
        <v>155</v>
      </c>
      <c r="E63" s="15" t="str">
        <f t="shared" ref="E63:E64" si="6">D63</f>
        <v>As per Visit</v>
      </c>
      <c r="F63" s="16">
        <v>0</v>
      </c>
      <c r="G63" s="16">
        <v>0</v>
      </c>
      <c r="H63" s="15" t="str">
        <f t="shared" ref="H63:H64" si="7">D63</f>
        <v>As per Visit</v>
      </c>
      <c r="I63" s="15" t="str">
        <f t="shared" ref="I63:I64" si="8">D63</f>
        <v>As per Visit</v>
      </c>
      <c r="J63" s="10" t="s">
        <v>20</v>
      </c>
      <c r="K63" s="20">
        <v>50100651592557</v>
      </c>
      <c r="L63" s="14">
        <v>9839290985</v>
      </c>
      <c r="M63" s="11" t="s">
        <v>149</v>
      </c>
    </row>
    <row r="64" spans="1:13" s="2" customFormat="1" ht="27" customHeight="1">
      <c r="A64" s="17">
        <v>56</v>
      </c>
      <c r="B64" s="13" t="s">
        <v>156</v>
      </c>
      <c r="C64" s="13" t="s">
        <v>157</v>
      </c>
      <c r="D64" s="15" t="s">
        <v>155</v>
      </c>
      <c r="E64" s="15" t="str">
        <f t="shared" si="6"/>
        <v>As per Visit</v>
      </c>
      <c r="F64" s="16">
        <v>0</v>
      </c>
      <c r="G64" s="16">
        <v>0</v>
      </c>
      <c r="H64" s="15" t="str">
        <f t="shared" si="7"/>
        <v>As per Visit</v>
      </c>
      <c r="I64" s="15" t="str">
        <f t="shared" si="8"/>
        <v>As per Visit</v>
      </c>
      <c r="J64" s="10" t="s">
        <v>20</v>
      </c>
      <c r="K64" s="20">
        <v>359402130000229</v>
      </c>
      <c r="L64" s="14">
        <v>8423074211</v>
      </c>
      <c r="M64" s="11" t="s">
        <v>150</v>
      </c>
    </row>
    <row r="65" spans="1:13" s="2" customFormat="1" ht="27" customHeight="1">
      <c r="A65" s="3"/>
      <c r="B65" s="12"/>
      <c r="C65" s="1"/>
      <c r="D65" s="12"/>
      <c r="E65" s="12"/>
      <c r="F65" s="1"/>
      <c r="G65" s="1"/>
      <c r="H65" s="3"/>
      <c r="I65" s="3"/>
      <c r="J65" s="1"/>
      <c r="K65" s="21"/>
      <c r="L65" s="3"/>
      <c r="M65" s="4"/>
    </row>
    <row r="66" spans="1:13" ht="17.45" customHeight="1"/>
    <row r="67" spans="1:13" ht="17.45" customHeight="1"/>
    <row r="68" spans="1:13" ht="17.45" customHeight="1"/>
    <row r="69" spans="1:13" ht="17.45" customHeight="1"/>
    <row r="70" spans="1:13" ht="17.45" customHeight="1"/>
  </sheetData>
  <sheetProtection selectLockedCells="1" selectUnlockedCells="1"/>
  <mergeCells count="5">
    <mergeCell ref="A1:M5"/>
    <mergeCell ref="A6:B6"/>
    <mergeCell ref="C6:M6"/>
    <mergeCell ref="A7:B7"/>
    <mergeCell ref="C7:M7"/>
  </mergeCells>
  <phoneticPr fontId="3" type="noConversion"/>
  <pageMargins left="0.47244094488188981" right="0.15748031496062992" top="0.70866141732283472" bottom="0.39370078740157483" header="0.23622047244094491" footer="0.15748031496062992"/>
  <pageSetup paperSize="9" scale="82" orientation="landscape" useFirstPageNumber="1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user</cp:lastModifiedBy>
  <cp:lastPrinted>2026-04-02T09:29:42Z</cp:lastPrinted>
  <dcterms:created xsi:type="dcterms:W3CDTF">2022-03-25T09:13:08Z</dcterms:created>
  <dcterms:modified xsi:type="dcterms:W3CDTF">2026-05-29T12:20:31Z</dcterms:modified>
</cp:coreProperties>
</file>