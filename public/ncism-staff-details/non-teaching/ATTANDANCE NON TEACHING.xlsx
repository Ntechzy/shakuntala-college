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b39d805cd8cbd3/Desktop/website update final/"/>
    </mc:Choice>
  </mc:AlternateContent>
  <xr:revisionPtr revIDLastSave="3" documentId="8_{06DD6F64-A3BB-40CB-8B14-11B81A4F6249}" xr6:coauthVersionLast="47" xr6:coauthVersionMax="47" xr10:uidLastSave="{0E9CF48B-036F-4E67-BCBC-A60D1588692C}"/>
  <bookViews>
    <workbookView xWindow="-108" yWindow="-108" windowWidth="23256" windowHeight="12456" xr2:uid="{9083ED28-70F9-4B11-842C-C1F470CB22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1" i="1" l="1"/>
  <c r="E61" i="1"/>
  <c r="K60" i="1"/>
  <c r="E60" i="1"/>
  <c r="K59" i="1"/>
  <c r="E59" i="1"/>
  <c r="K58" i="1"/>
  <c r="E58" i="1"/>
  <c r="K57" i="1"/>
  <c r="E57" i="1"/>
  <c r="K56" i="1"/>
  <c r="E56" i="1"/>
  <c r="K55" i="1"/>
  <c r="E55" i="1"/>
  <c r="K54" i="1"/>
  <c r="E54" i="1"/>
  <c r="K53" i="1"/>
  <c r="E53" i="1"/>
  <c r="K52" i="1"/>
  <c r="E52" i="1"/>
  <c r="K51" i="1"/>
  <c r="E51" i="1"/>
  <c r="K50" i="1"/>
  <c r="E50" i="1"/>
  <c r="K49" i="1"/>
  <c r="E49" i="1"/>
  <c r="K48" i="1"/>
  <c r="E48" i="1"/>
  <c r="K47" i="1"/>
  <c r="E47" i="1"/>
  <c r="K46" i="1"/>
  <c r="E46" i="1"/>
  <c r="K45" i="1"/>
  <c r="E45" i="1"/>
  <c r="AC41" i="1"/>
  <c r="W41" i="1"/>
  <c r="Q41" i="1"/>
  <c r="K41" i="1"/>
  <c r="E41" i="1"/>
  <c r="AC40" i="1"/>
  <c r="W40" i="1"/>
  <c r="Q40" i="1"/>
  <c r="K40" i="1"/>
  <c r="E40" i="1"/>
  <c r="AC39" i="1"/>
  <c r="W39" i="1"/>
  <c r="Q39" i="1"/>
  <c r="K39" i="1"/>
  <c r="E39" i="1"/>
  <c r="AC38" i="1"/>
  <c r="W38" i="1"/>
  <c r="Q38" i="1"/>
  <c r="K38" i="1"/>
  <c r="E38" i="1"/>
  <c r="AC37" i="1"/>
  <c r="W37" i="1"/>
  <c r="Q37" i="1"/>
  <c r="K37" i="1"/>
  <c r="E37" i="1"/>
  <c r="AC36" i="1"/>
  <c r="W36" i="1"/>
  <c r="Q36" i="1"/>
  <c r="K36" i="1"/>
  <c r="E36" i="1"/>
  <c r="AC35" i="1"/>
  <c r="W35" i="1"/>
  <c r="Q35" i="1"/>
  <c r="K35" i="1"/>
  <c r="E35" i="1"/>
  <c r="AC34" i="1"/>
  <c r="W34" i="1"/>
  <c r="Q34" i="1"/>
  <c r="K34" i="1"/>
  <c r="E34" i="1"/>
  <c r="AC33" i="1"/>
  <c r="W33" i="1"/>
  <c r="Q33" i="1"/>
  <c r="K33" i="1"/>
  <c r="E33" i="1"/>
  <c r="AC32" i="1"/>
  <c r="W32" i="1"/>
  <c r="Q32" i="1"/>
  <c r="K32" i="1"/>
  <c r="E32" i="1"/>
  <c r="AC31" i="1"/>
  <c r="W31" i="1"/>
  <c r="Q31" i="1"/>
  <c r="K31" i="1"/>
  <c r="E31" i="1"/>
  <c r="AC30" i="1"/>
  <c r="W30" i="1"/>
  <c r="Q30" i="1"/>
  <c r="K30" i="1"/>
  <c r="E30" i="1"/>
  <c r="AC29" i="1"/>
  <c r="W29" i="1"/>
  <c r="Q29" i="1"/>
  <c r="K29" i="1"/>
  <c r="E29" i="1"/>
  <c r="AC28" i="1"/>
  <c r="W28" i="1"/>
  <c r="Q28" i="1"/>
  <c r="K28" i="1"/>
  <c r="E28" i="1"/>
  <c r="AC27" i="1"/>
  <c r="W27" i="1"/>
  <c r="Q27" i="1"/>
  <c r="K27" i="1"/>
  <c r="E27" i="1"/>
  <c r="AC26" i="1"/>
  <c r="W26" i="1"/>
  <c r="Q26" i="1"/>
  <c r="K26" i="1"/>
  <c r="E26" i="1"/>
  <c r="AC25" i="1"/>
  <c r="W25" i="1"/>
  <c r="Q25" i="1"/>
  <c r="K25" i="1"/>
  <c r="E25" i="1"/>
  <c r="AC21" i="1"/>
  <c r="W21" i="1"/>
  <c r="Q21" i="1"/>
  <c r="K21" i="1"/>
  <c r="E21" i="1"/>
  <c r="AC20" i="1"/>
  <c r="W20" i="1"/>
  <c r="Q20" i="1"/>
  <c r="K20" i="1"/>
  <c r="E20" i="1"/>
  <c r="AC19" i="1"/>
  <c r="W19" i="1"/>
  <c r="Q19" i="1"/>
  <c r="K19" i="1"/>
  <c r="E19" i="1"/>
  <c r="AC18" i="1"/>
  <c r="W18" i="1"/>
  <c r="Q18" i="1"/>
  <c r="K18" i="1"/>
  <c r="E18" i="1"/>
  <c r="AC17" i="1"/>
  <c r="W17" i="1"/>
  <c r="Q17" i="1"/>
  <c r="K17" i="1"/>
  <c r="E17" i="1"/>
  <c r="AC16" i="1"/>
  <c r="W16" i="1"/>
  <c r="Q16" i="1"/>
  <c r="K16" i="1"/>
  <c r="E16" i="1"/>
  <c r="AC15" i="1"/>
  <c r="W15" i="1"/>
  <c r="Q15" i="1"/>
  <c r="K15" i="1"/>
  <c r="E15" i="1"/>
  <c r="AC14" i="1"/>
  <c r="W14" i="1"/>
  <c r="Q14" i="1"/>
  <c r="K14" i="1"/>
  <c r="E14" i="1"/>
  <c r="AC13" i="1"/>
  <c r="W13" i="1"/>
  <c r="Q13" i="1"/>
  <c r="K13" i="1"/>
  <c r="E13" i="1"/>
  <c r="AC12" i="1"/>
  <c r="W12" i="1"/>
  <c r="Q12" i="1"/>
  <c r="K12" i="1"/>
  <c r="E12" i="1"/>
  <c r="AC11" i="1"/>
  <c r="W11" i="1"/>
  <c r="Q11" i="1"/>
  <c r="K11" i="1"/>
  <c r="E11" i="1"/>
  <c r="AC10" i="1"/>
  <c r="W10" i="1"/>
  <c r="Q10" i="1"/>
  <c r="K10" i="1"/>
  <c r="E10" i="1"/>
  <c r="AC9" i="1"/>
  <c r="W9" i="1"/>
  <c r="Q9" i="1"/>
  <c r="K9" i="1"/>
  <c r="E9" i="1"/>
  <c r="AC8" i="1"/>
  <c r="W8" i="1"/>
  <c r="Q8" i="1"/>
  <c r="K8" i="1"/>
  <c r="E8" i="1"/>
  <c r="AC7" i="1"/>
  <c r="W7" i="1"/>
  <c r="Q7" i="1"/>
  <c r="K7" i="1"/>
  <c r="E7" i="1"/>
  <c r="AC6" i="1"/>
  <c r="W6" i="1"/>
  <c r="Q6" i="1"/>
  <c r="K6" i="1"/>
  <c r="E6" i="1"/>
  <c r="AC5" i="1"/>
  <c r="W5" i="1"/>
  <c r="Q5" i="1"/>
  <c r="K5" i="1"/>
  <c r="E5" i="1"/>
</calcChain>
</file>

<file path=xl/sharedStrings.xml><?xml version="1.0" encoding="utf-8"?>
<sst xmlns="http://schemas.openxmlformats.org/spreadsheetml/2006/main" count="277" uniqueCount="35">
  <si>
    <t>Dr. Shakuntala Ayurvedic Medical College &amp; Hospital, Nayansand,Gaurabadshahpur - Jaunpur, U.P.-222133</t>
  </si>
  <si>
    <t>Attendance Summary of Non Teaching Staff Monthly</t>
  </si>
  <si>
    <t>01-01-2025 to 31-01-2025</t>
  </si>
  <si>
    <t>01-02-2025 to 28-02-2025</t>
  </si>
  <si>
    <t>01-03-2025 to 31-03-2025</t>
  </si>
  <si>
    <t>01-04-2025 to 30-04-2025</t>
  </si>
  <si>
    <t>Sr.No.</t>
  </si>
  <si>
    <t>Name of Staff</t>
  </si>
  <si>
    <t>Total Working Day</t>
  </si>
  <si>
    <t>Total Present</t>
  </si>
  <si>
    <t>% of Attendance</t>
  </si>
  <si>
    <t>Mr.Sachin Yadav</t>
  </si>
  <si>
    <t>Ms.Kanchan Yadav</t>
  </si>
  <si>
    <t>Ms.Kavita Pathak</t>
  </si>
  <si>
    <t>Ms.Anjali Maurya</t>
  </si>
  <si>
    <t>Mr.Awadhesh Kumar</t>
  </si>
  <si>
    <t>Mr.Rajeshwari Yadav</t>
  </si>
  <si>
    <t>Mr.Prem Prakash Srivastava</t>
  </si>
  <si>
    <t>Mr.Pramod Kumar Yadav</t>
  </si>
  <si>
    <t>Mr.Raju Yadav</t>
  </si>
  <si>
    <t>Mr.Rajesh Yadav</t>
  </si>
  <si>
    <t>Mrs.Manju Devi</t>
  </si>
  <si>
    <t>Mrs.Savita Gupta</t>
  </si>
  <si>
    <t>Mr.Subham Dubey</t>
  </si>
  <si>
    <t>Mr.Ramkesh Sharma</t>
  </si>
  <si>
    <t xml:space="preserve">Mr.Kishan Kumar </t>
  </si>
  <si>
    <t>Mr.Dinesh Varma</t>
  </si>
  <si>
    <t>Mr.Jamil Ahmad</t>
  </si>
  <si>
    <t>01-06-2025 to 30-06-2025</t>
  </si>
  <si>
    <t>01-07-2025 to 31-07-2025</t>
  </si>
  <si>
    <t>01-08-2025 to 31-08-2025</t>
  </si>
  <si>
    <t>01-09-2025 to 30-09-2025</t>
  </si>
  <si>
    <t>01-10-2025 to 31-10-2025</t>
  </si>
  <si>
    <t>01-11-2025 to 30-11-2025</t>
  </si>
  <si>
    <t>01-12-2025 to 31-12-2025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</si>
</sst>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4"/>
      <name val="Calibri"/>
      <family val="2"/>
    </font>
    <font>
      <b/>
      <sz val="14"/>
      <name val="Times New Roman"/>
      <family val="1"/>
    </font>
    <font>
      <sz val="14"/>
      <name val="Calibri"/>
      <family val="2"/>
    </font>
    <font>
      <sz val="14"/>
      <color theme="1"/>
      <name val="Calibri"/>
      <family val="2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4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11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" fontId="5" fillId="4" borderId="1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6" fontId="5" fillId="4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02912-518A-4E35-88BF-51D1A3E5D7A7}">
  <dimension ref="A1:AG81"/>
  <sheetViews>
    <sheetView tabSelected="1" topLeftCell="A42" workbookViewId="0">
      <selection activeCell="N50" sqref="N50"/>
    </sheetView>
  </sheetViews>
  <sheetFormatPr defaultRowHeight="28.8" customHeight="1" x14ac:dyDescent="0.3"/>
  <cols>
    <col min="2" max="2" width="20.77734375" customWidth="1"/>
    <col min="3" max="5" width="12.5546875" customWidth="1"/>
    <col min="8" max="8" width="25.88671875" customWidth="1"/>
    <col min="9" max="11" width="12.88671875" customWidth="1"/>
    <col min="14" max="14" width="23" customWidth="1"/>
    <col min="15" max="17" width="12.88671875" customWidth="1"/>
    <col min="20" max="20" width="26.6640625" customWidth="1"/>
    <col min="21" max="23" width="12.77734375" customWidth="1"/>
    <col min="26" max="26" width="21.5546875" customWidth="1"/>
  </cols>
  <sheetData>
    <row r="1" spans="1:29" ht="28.8" customHeight="1" x14ac:dyDescent="0.3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9" ht="28.8" customHeight="1" x14ac:dyDescent="0.3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</row>
    <row r="3" spans="1:29" ht="28.8" customHeight="1" x14ac:dyDescent="0.35">
      <c r="A3" s="23"/>
      <c r="B3" s="24"/>
      <c r="C3" s="30" t="s">
        <v>2</v>
      </c>
      <c r="D3" s="30"/>
      <c r="E3" s="30"/>
      <c r="F3" s="2"/>
      <c r="G3" s="23"/>
      <c r="H3" s="24"/>
      <c r="I3" s="30" t="s">
        <v>3</v>
      </c>
      <c r="J3" s="30"/>
      <c r="K3" s="30"/>
      <c r="L3" s="1"/>
      <c r="M3" s="23"/>
      <c r="N3" s="24"/>
      <c r="O3" s="30" t="s">
        <v>4</v>
      </c>
      <c r="P3" s="30"/>
      <c r="Q3" s="30"/>
      <c r="R3" s="1"/>
      <c r="S3" s="23"/>
      <c r="T3" s="24"/>
      <c r="U3" s="30" t="s">
        <v>5</v>
      </c>
      <c r="V3" s="30"/>
      <c r="W3" s="30"/>
    </row>
    <row r="4" spans="1:29" ht="28.8" customHeight="1" x14ac:dyDescent="0.35">
      <c r="A4" s="3" t="s">
        <v>6</v>
      </c>
      <c r="B4" s="4" t="s">
        <v>7</v>
      </c>
      <c r="C4" s="5" t="s">
        <v>8</v>
      </c>
      <c r="D4" s="5" t="s">
        <v>9</v>
      </c>
      <c r="E4" s="5" t="s">
        <v>10</v>
      </c>
      <c r="F4" s="2"/>
      <c r="G4" s="3" t="s">
        <v>6</v>
      </c>
      <c r="H4" s="4" t="s">
        <v>7</v>
      </c>
      <c r="I4" s="5" t="s">
        <v>8</v>
      </c>
      <c r="J4" s="5" t="s">
        <v>9</v>
      </c>
      <c r="K4" s="5" t="s">
        <v>10</v>
      </c>
      <c r="L4" s="1"/>
      <c r="M4" s="3" t="s">
        <v>6</v>
      </c>
      <c r="N4" s="4" t="s">
        <v>7</v>
      </c>
      <c r="O4" s="5" t="s">
        <v>8</v>
      </c>
      <c r="P4" s="5" t="s">
        <v>9</v>
      </c>
      <c r="Q4" s="5" t="s">
        <v>10</v>
      </c>
      <c r="R4" s="1"/>
      <c r="S4" s="3" t="s">
        <v>6</v>
      </c>
      <c r="T4" s="4" t="s">
        <v>7</v>
      </c>
      <c r="U4" s="5" t="s">
        <v>8</v>
      </c>
      <c r="V4" s="5" t="s">
        <v>9</v>
      </c>
      <c r="W4" s="5" t="s">
        <v>10</v>
      </c>
      <c r="Y4" s="10" t="s">
        <v>6</v>
      </c>
      <c r="Z4" s="11" t="s">
        <v>7</v>
      </c>
      <c r="AA4" s="12" t="s">
        <v>8</v>
      </c>
      <c r="AB4" s="12" t="s">
        <v>9</v>
      </c>
      <c r="AC4" s="12" t="s">
        <v>10</v>
      </c>
    </row>
    <row r="5" spans="1:29" ht="28.8" customHeight="1" x14ac:dyDescent="0.35">
      <c r="A5" s="3">
        <v>1</v>
      </c>
      <c r="B5" s="6" t="s">
        <v>11</v>
      </c>
      <c r="C5" s="7">
        <v>27</v>
      </c>
      <c r="D5" s="7">
        <v>27</v>
      </c>
      <c r="E5" s="8">
        <f>D5*100/27</f>
        <v>100</v>
      </c>
      <c r="F5" s="2"/>
      <c r="G5" s="3">
        <v>1</v>
      </c>
      <c r="H5" s="6" t="s">
        <v>11</v>
      </c>
      <c r="I5" s="7">
        <v>22</v>
      </c>
      <c r="J5" s="7">
        <v>22</v>
      </c>
      <c r="K5" s="8">
        <f>J5*100/22</f>
        <v>100</v>
      </c>
      <c r="L5" s="1"/>
      <c r="M5" s="3">
        <v>1</v>
      </c>
      <c r="N5" s="6" t="s">
        <v>11</v>
      </c>
      <c r="O5" s="7">
        <v>22</v>
      </c>
      <c r="P5" s="7">
        <v>23</v>
      </c>
      <c r="Q5" s="8">
        <f>P5*100/22</f>
        <v>104.54545454545455</v>
      </c>
      <c r="R5" s="1"/>
      <c r="S5" s="3">
        <v>1</v>
      </c>
      <c r="T5" s="6" t="s">
        <v>11</v>
      </c>
      <c r="U5" s="7">
        <v>23</v>
      </c>
      <c r="V5" s="7">
        <v>23</v>
      </c>
      <c r="W5" s="8">
        <f>V5*100/23</f>
        <v>100</v>
      </c>
      <c r="Y5" s="10">
        <v>1</v>
      </c>
      <c r="Z5" s="13" t="s">
        <v>11</v>
      </c>
      <c r="AA5" s="14">
        <v>26</v>
      </c>
      <c r="AB5" s="14">
        <v>26</v>
      </c>
      <c r="AC5" s="15">
        <f>AB5*100/26</f>
        <v>100</v>
      </c>
    </row>
    <row r="6" spans="1:29" ht="28.8" customHeight="1" x14ac:dyDescent="0.35">
      <c r="A6" s="3">
        <v>2</v>
      </c>
      <c r="B6" s="6" t="s">
        <v>12</v>
      </c>
      <c r="C6" s="7">
        <v>27</v>
      </c>
      <c r="D6" s="5">
        <v>25</v>
      </c>
      <c r="E6" s="8">
        <f t="shared" ref="E6:E21" si="0">D6*100/27</f>
        <v>92.592592592592595</v>
      </c>
      <c r="F6" s="2"/>
      <c r="G6" s="3">
        <v>2</v>
      </c>
      <c r="H6" s="6" t="s">
        <v>12</v>
      </c>
      <c r="I6" s="7">
        <v>22</v>
      </c>
      <c r="J6" s="5">
        <v>22</v>
      </c>
      <c r="K6" s="8">
        <f t="shared" ref="K6:K21" si="1">J6*100/22</f>
        <v>100</v>
      </c>
      <c r="L6" s="1"/>
      <c r="M6" s="3">
        <v>2</v>
      </c>
      <c r="N6" s="6" t="s">
        <v>12</v>
      </c>
      <c r="O6" s="7">
        <v>22</v>
      </c>
      <c r="P6" s="5">
        <v>23</v>
      </c>
      <c r="Q6" s="8">
        <f t="shared" ref="Q6:Q21" si="2">P6*100/22</f>
        <v>104.54545454545455</v>
      </c>
      <c r="R6" s="1"/>
      <c r="S6" s="3">
        <v>2</v>
      </c>
      <c r="T6" s="6" t="s">
        <v>12</v>
      </c>
      <c r="U6" s="7">
        <v>23</v>
      </c>
      <c r="V6" s="5">
        <v>21</v>
      </c>
      <c r="W6" s="8">
        <f t="shared" ref="W6:W21" si="3">V6*100/23</f>
        <v>91.304347826086953</v>
      </c>
      <c r="Y6" s="10">
        <v>2</v>
      </c>
      <c r="Z6" s="13" t="s">
        <v>12</v>
      </c>
      <c r="AA6" s="14">
        <v>26</v>
      </c>
      <c r="AB6" s="12">
        <v>24</v>
      </c>
      <c r="AC6" s="15">
        <f t="shared" ref="AC6:AC21" si="4">AB6*100/26</f>
        <v>92.307692307692307</v>
      </c>
    </row>
    <row r="7" spans="1:29" ht="28.8" customHeight="1" x14ac:dyDescent="0.35">
      <c r="A7" s="3">
        <v>3</v>
      </c>
      <c r="B7" s="6" t="s">
        <v>13</v>
      </c>
      <c r="C7" s="7">
        <v>27</v>
      </c>
      <c r="D7" s="7">
        <v>27</v>
      </c>
      <c r="E7" s="8">
        <f t="shared" si="0"/>
        <v>100</v>
      </c>
      <c r="F7" s="2"/>
      <c r="G7" s="3">
        <v>3</v>
      </c>
      <c r="H7" s="6" t="s">
        <v>13</v>
      </c>
      <c r="I7" s="7">
        <v>22</v>
      </c>
      <c r="J7" s="7">
        <v>22</v>
      </c>
      <c r="K7" s="8">
        <f t="shared" si="1"/>
        <v>100</v>
      </c>
      <c r="L7" s="1"/>
      <c r="M7" s="3">
        <v>3</v>
      </c>
      <c r="N7" s="6" t="s">
        <v>13</v>
      </c>
      <c r="O7" s="7">
        <v>22</v>
      </c>
      <c r="P7" s="7">
        <v>21</v>
      </c>
      <c r="Q7" s="8">
        <f t="shared" si="2"/>
        <v>95.454545454545453</v>
      </c>
      <c r="R7" s="1"/>
      <c r="S7" s="3">
        <v>3</v>
      </c>
      <c r="T7" s="6" t="s">
        <v>13</v>
      </c>
      <c r="U7" s="7">
        <v>23</v>
      </c>
      <c r="V7" s="7">
        <v>23</v>
      </c>
      <c r="W7" s="8">
        <f t="shared" si="3"/>
        <v>100</v>
      </c>
      <c r="Y7" s="10">
        <v>3</v>
      </c>
      <c r="Z7" s="13" t="s">
        <v>13</v>
      </c>
      <c r="AA7" s="14">
        <v>26</v>
      </c>
      <c r="AB7" s="14">
        <v>26</v>
      </c>
      <c r="AC7" s="15">
        <f t="shared" si="4"/>
        <v>100</v>
      </c>
    </row>
    <row r="8" spans="1:29" ht="28.8" customHeight="1" x14ac:dyDescent="0.35">
      <c r="A8" s="3">
        <v>4</v>
      </c>
      <c r="B8" s="6" t="s">
        <v>14</v>
      </c>
      <c r="C8" s="7">
        <v>27</v>
      </c>
      <c r="D8" s="7">
        <v>27</v>
      </c>
      <c r="E8" s="8">
        <f t="shared" si="0"/>
        <v>100</v>
      </c>
      <c r="F8" s="2"/>
      <c r="G8" s="3">
        <v>4</v>
      </c>
      <c r="H8" s="6" t="s">
        <v>14</v>
      </c>
      <c r="I8" s="7">
        <v>22</v>
      </c>
      <c r="J8" s="7">
        <v>22</v>
      </c>
      <c r="K8" s="8">
        <f t="shared" si="1"/>
        <v>100</v>
      </c>
      <c r="L8" s="1"/>
      <c r="M8" s="3">
        <v>4</v>
      </c>
      <c r="N8" s="6" t="s">
        <v>14</v>
      </c>
      <c r="O8" s="7">
        <v>22</v>
      </c>
      <c r="P8" s="7">
        <v>19</v>
      </c>
      <c r="Q8" s="8">
        <f t="shared" si="2"/>
        <v>86.36363636363636</v>
      </c>
      <c r="R8" s="1"/>
      <c r="S8" s="3">
        <v>4</v>
      </c>
      <c r="T8" s="6" t="s">
        <v>14</v>
      </c>
      <c r="U8" s="7">
        <v>23</v>
      </c>
      <c r="V8" s="7">
        <v>23</v>
      </c>
      <c r="W8" s="8">
        <f t="shared" si="3"/>
        <v>100</v>
      </c>
      <c r="Y8" s="10">
        <v>4</v>
      </c>
      <c r="Z8" s="13" t="s">
        <v>14</v>
      </c>
      <c r="AA8" s="14">
        <v>26</v>
      </c>
      <c r="AB8" s="14">
        <v>26</v>
      </c>
      <c r="AC8" s="15">
        <f t="shared" si="4"/>
        <v>100</v>
      </c>
    </row>
    <row r="9" spans="1:29" ht="28.8" customHeight="1" x14ac:dyDescent="0.35">
      <c r="A9" s="3">
        <v>5</v>
      </c>
      <c r="B9" s="6" t="s">
        <v>15</v>
      </c>
      <c r="C9" s="7">
        <v>27</v>
      </c>
      <c r="D9" s="7">
        <v>27</v>
      </c>
      <c r="E9" s="8">
        <f t="shared" si="0"/>
        <v>100</v>
      </c>
      <c r="F9" s="2"/>
      <c r="G9" s="3">
        <v>5</v>
      </c>
      <c r="H9" s="6" t="s">
        <v>15</v>
      </c>
      <c r="I9" s="7">
        <v>22</v>
      </c>
      <c r="J9" s="7">
        <v>20</v>
      </c>
      <c r="K9" s="8">
        <f t="shared" si="1"/>
        <v>90.909090909090907</v>
      </c>
      <c r="L9" s="1"/>
      <c r="M9" s="3">
        <v>5</v>
      </c>
      <c r="N9" s="6" t="s">
        <v>15</v>
      </c>
      <c r="O9" s="7">
        <v>22</v>
      </c>
      <c r="P9" s="7">
        <v>21</v>
      </c>
      <c r="Q9" s="8">
        <f t="shared" si="2"/>
        <v>95.454545454545453</v>
      </c>
      <c r="R9" s="1"/>
      <c r="S9" s="3">
        <v>5</v>
      </c>
      <c r="T9" s="6" t="s">
        <v>15</v>
      </c>
      <c r="U9" s="7">
        <v>23</v>
      </c>
      <c r="V9" s="7">
        <v>23</v>
      </c>
      <c r="W9" s="8">
        <f t="shared" si="3"/>
        <v>100</v>
      </c>
      <c r="Y9" s="10">
        <v>5</v>
      </c>
      <c r="Z9" s="13" t="s">
        <v>15</v>
      </c>
      <c r="AA9" s="14">
        <v>26</v>
      </c>
      <c r="AB9" s="14">
        <v>26</v>
      </c>
      <c r="AC9" s="15">
        <f t="shared" si="4"/>
        <v>100</v>
      </c>
    </row>
    <row r="10" spans="1:29" ht="28.8" customHeight="1" x14ac:dyDescent="0.35">
      <c r="A10" s="3">
        <v>6</v>
      </c>
      <c r="B10" s="6" t="s">
        <v>16</v>
      </c>
      <c r="C10" s="7">
        <v>27</v>
      </c>
      <c r="D10" s="7">
        <v>27</v>
      </c>
      <c r="E10" s="8">
        <f t="shared" si="0"/>
        <v>100</v>
      </c>
      <c r="F10" s="2"/>
      <c r="G10" s="3">
        <v>6</v>
      </c>
      <c r="H10" s="6" t="s">
        <v>16</v>
      </c>
      <c r="I10" s="7">
        <v>22</v>
      </c>
      <c r="J10" s="7">
        <v>22</v>
      </c>
      <c r="K10" s="8">
        <f t="shared" si="1"/>
        <v>100</v>
      </c>
      <c r="L10" s="1"/>
      <c r="M10" s="3">
        <v>6</v>
      </c>
      <c r="N10" s="6" t="s">
        <v>16</v>
      </c>
      <c r="O10" s="7">
        <v>22</v>
      </c>
      <c r="P10" s="7">
        <v>18</v>
      </c>
      <c r="Q10" s="8">
        <f t="shared" si="2"/>
        <v>81.818181818181813</v>
      </c>
      <c r="R10" s="1"/>
      <c r="S10" s="3">
        <v>6</v>
      </c>
      <c r="T10" s="6" t="s">
        <v>16</v>
      </c>
      <c r="U10" s="7">
        <v>23</v>
      </c>
      <c r="V10" s="7">
        <v>21</v>
      </c>
      <c r="W10" s="8">
        <f t="shared" si="3"/>
        <v>91.304347826086953</v>
      </c>
      <c r="Y10" s="10">
        <v>6</v>
      </c>
      <c r="Z10" s="13" t="s">
        <v>16</v>
      </c>
      <c r="AA10" s="14">
        <v>26</v>
      </c>
      <c r="AB10" s="14">
        <v>26</v>
      </c>
      <c r="AC10" s="15">
        <f t="shared" si="4"/>
        <v>100</v>
      </c>
    </row>
    <row r="11" spans="1:29" ht="28.8" customHeight="1" x14ac:dyDescent="0.35">
      <c r="A11" s="3">
        <v>7</v>
      </c>
      <c r="B11" s="6" t="s">
        <v>17</v>
      </c>
      <c r="C11" s="7">
        <v>27</v>
      </c>
      <c r="D11" s="7">
        <v>23</v>
      </c>
      <c r="E11" s="8">
        <f t="shared" si="0"/>
        <v>85.18518518518519</v>
      </c>
      <c r="F11" s="2"/>
      <c r="G11" s="3">
        <v>7</v>
      </c>
      <c r="H11" s="6" t="s">
        <v>17</v>
      </c>
      <c r="I11" s="7">
        <v>22</v>
      </c>
      <c r="J11" s="7">
        <v>22</v>
      </c>
      <c r="K11" s="8">
        <f t="shared" si="1"/>
        <v>100</v>
      </c>
      <c r="L11" s="1"/>
      <c r="M11" s="3">
        <v>7</v>
      </c>
      <c r="N11" s="6" t="s">
        <v>17</v>
      </c>
      <c r="O11" s="7">
        <v>22</v>
      </c>
      <c r="P11" s="7">
        <v>19</v>
      </c>
      <c r="Q11" s="8">
        <f>P11*100/22</f>
        <v>86.36363636363636</v>
      </c>
      <c r="R11" s="1"/>
      <c r="S11" s="3">
        <v>7</v>
      </c>
      <c r="T11" s="6" t="s">
        <v>17</v>
      </c>
      <c r="U11" s="7">
        <v>23</v>
      </c>
      <c r="V11" s="7">
        <v>21</v>
      </c>
      <c r="W11" s="8">
        <f t="shared" si="3"/>
        <v>91.304347826086953</v>
      </c>
      <c r="Y11" s="10">
        <v>7</v>
      </c>
      <c r="Z11" s="13" t="s">
        <v>17</v>
      </c>
      <c r="AA11" s="14">
        <v>26</v>
      </c>
      <c r="AB11" s="14">
        <v>24</v>
      </c>
      <c r="AC11" s="15">
        <f t="shared" si="4"/>
        <v>92.307692307692307</v>
      </c>
    </row>
    <row r="12" spans="1:29" ht="28.8" customHeight="1" x14ac:dyDescent="0.35">
      <c r="A12" s="3">
        <v>8</v>
      </c>
      <c r="B12" s="6" t="s">
        <v>18</v>
      </c>
      <c r="C12" s="7">
        <v>27</v>
      </c>
      <c r="D12" s="7">
        <v>27</v>
      </c>
      <c r="E12" s="8">
        <f t="shared" si="0"/>
        <v>100</v>
      </c>
      <c r="F12" s="2"/>
      <c r="G12" s="3">
        <v>8</v>
      </c>
      <c r="H12" s="6" t="s">
        <v>18</v>
      </c>
      <c r="I12" s="7">
        <v>22</v>
      </c>
      <c r="J12" s="7">
        <v>22</v>
      </c>
      <c r="K12" s="8">
        <f t="shared" si="1"/>
        <v>100</v>
      </c>
      <c r="L12" s="1"/>
      <c r="M12" s="3">
        <v>8</v>
      </c>
      <c r="N12" s="6" t="s">
        <v>18</v>
      </c>
      <c r="O12" s="7">
        <v>22</v>
      </c>
      <c r="P12" s="7">
        <v>22</v>
      </c>
      <c r="Q12" s="8">
        <f t="shared" si="2"/>
        <v>100</v>
      </c>
      <c r="R12" s="1"/>
      <c r="S12" s="3">
        <v>8</v>
      </c>
      <c r="T12" s="6" t="s">
        <v>18</v>
      </c>
      <c r="U12" s="7">
        <v>23</v>
      </c>
      <c r="V12" s="7">
        <v>23</v>
      </c>
      <c r="W12" s="8">
        <f t="shared" si="3"/>
        <v>100</v>
      </c>
      <c r="Y12" s="10">
        <v>8</v>
      </c>
      <c r="Z12" s="13" t="s">
        <v>18</v>
      </c>
      <c r="AA12" s="14">
        <v>26</v>
      </c>
      <c r="AB12" s="14">
        <v>26</v>
      </c>
      <c r="AC12" s="15">
        <f t="shared" si="4"/>
        <v>100</v>
      </c>
    </row>
    <row r="13" spans="1:29" ht="28.8" customHeight="1" x14ac:dyDescent="0.35">
      <c r="A13" s="3">
        <v>9</v>
      </c>
      <c r="B13" s="6" t="s">
        <v>19</v>
      </c>
      <c r="C13" s="7">
        <v>27</v>
      </c>
      <c r="D13" s="7">
        <v>27</v>
      </c>
      <c r="E13" s="8">
        <f t="shared" si="0"/>
        <v>100</v>
      </c>
      <c r="F13" s="2"/>
      <c r="G13" s="3">
        <v>9</v>
      </c>
      <c r="H13" s="6" t="s">
        <v>19</v>
      </c>
      <c r="I13" s="7">
        <v>22</v>
      </c>
      <c r="J13" s="7">
        <v>22</v>
      </c>
      <c r="K13" s="8">
        <f t="shared" si="1"/>
        <v>100</v>
      </c>
      <c r="L13" s="1"/>
      <c r="M13" s="3">
        <v>9</v>
      </c>
      <c r="N13" s="6" t="s">
        <v>19</v>
      </c>
      <c r="O13" s="7">
        <v>22</v>
      </c>
      <c r="P13" s="7">
        <v>22</v>
      </c>
      <c r="Q13" s="8">
        <f t="shared" si="2"/>
        <v>100</v>
      </c>
      <c r="R13" s="1"/>
      <c r="S13" s="3">
        <v>9</v>
      </c>
      <c r="T13" s="6" t="s">
        <v>19</v>
      </c>
      <c r="U13" s="7">
        <v>23</v>
      </c>
      <c r="V13" s="7">
        <v>23</v>
      </c>
      <c r="W13" s="8">
        <f t="shared" si="3"/>
        <v>100</v>
      </c>
      <c r="Y13" s="10">
        <v>9</v>
      </c>
      <c r="Z13" s="13" t="s">
        <v>19</v>
      </c>
      <c r="AA13" s="14">
        <v>26</v>
      </c>
      <c r="AB13" s="14">
        <v>26</v>
      </c>
      <c r="AC13" s="15">
        <f t="shared" si="4"/>
        <v>100</v>
      </c>
    </row>
    <row r="14" spans="1:29" ht="28.8" customHeight="1" x14ac:dyDescent="0.35">
      <c r="A14" s="3">
        <v>10</v>
      </c>
      <c r="B14" s="6" t="s">
        <v>20</v>
      </c>
      <c r="C14" s="7">
        <v>27</v>
      </c>
      <c r="D14" s="7">
        <v>27</v>
      </c>
      <c r="E14" s="8">
        <f t="shared" si="0"/>
        <v>100</v>
      </c>
      <c r="F14" s="2"/>
      <c r="G14" s="3">
        <v>10</v>
      </c>
      <c r="H14" s="6" t="s">
        <v>20</v>
      </c>
      <c r="I14" s="7">
        <v>22</v>
      </c>
      <c r="J14" s="7">
        <v>22</v>
      </c>
      <c r="K14" s="8">
        <f t="shared" si="1"/>
        <v>100</v>
      </c>
      <c r="L14" s="1"/>
      <c r="M14" s="3">
        <v>10</v>
      </c>
      <c r="N14" s="6" t="s">
        <v>20</v>
      </c>
      <c r="O14" s="7">
        <v>22</v>
      </c>
      <c r="P14" s="7">
        <v>22</v>
      </c>
      <c r="Q14" s="8">
        <f t="shared" si="2"/>
        <v>100</v>
      </c>
      <c r="R14" s="1"/>
      <c r="S14" s="3">
        <v>10</v>
      </c>
      <c r="T14" s="6" t="s">
        <v>20</v>
      </c>
      <c r="U14" s="7">
        <v>23</v>
      </c>
      <c r="V14" s="7">
        <v>23</v>
      </c>
      <c r="W14" s="8">
        <f t="shared" si="3"/>
        <v>100</v>
      </c>
      <c r="Y14" s="10">
        <v>10</v>
      </c>
      <c r="Z14" s="13" t="s">
        <v>20</v>
      </c>
      <c r="AA14" s="14">
        <v>26</v>
      </c>
      <c r="AB14" s="14">
        <v>26</v>
      </c>
      <c r="AC14" s="15">
        <f t="shared" si="4"/>
        <v>100</v>
      </c>
    </row>
    <row r="15" spans="1:29" ht="28.8" customHeight="1" x14ac:dyDescent="0.35">
      <c r="A15" s="3">
        <v>11</v>
      </c>
      <c r="B15" s="6" t="s">
        <v>21</v>
      </c>
      <c r="C15" s="7">
        <v>27</v>
      </c>
      <c r="D15" s="7">
        <v>27</v>
      </c>
      <c r="E15" s="8">
        <f t="shared" si="0"/>
        <v>100</v>
      </c>
      <c r="F15" s="2"/>
      <c r="G15" s="3">
        <v>11</v>
      </c>
      <c r="H15" s="6" t="s">
        <v>21</v>
      </c>
      <c r="I15" s="7">
        <v>22</v>
      </c>
      <c r="J15" s="7">
        <v>21</v>
      </c>
      <c r="K15" s="8">
        <f t="shared" si="1"/>
        <v>95.454545454545453</v>
      </c>
      <c r="L15" s="1"/>
      <c r="M15" s="3">
        <v>11</v>
      </c>
      <c r="N15" s="6" t="s">
        <v>21</v>
      </c>
      <c r="O15" s="7">
        <v>22</v>
      </c>
      <c r="P15" s="7">
        <v>22</v>
      </c>
      <c r="Q15" s="8">
        <f t="shared" si="2"/>
        <v>100</v>
      </c>
      <c r="R15" s="1"/>
      <c r="S15" s="3">
        <v>11</v>
      </c>
      <c r="T15" s="6" t="s">
        <v>21</v>
      </c>
      <c r="U15" s="7">
        <v>23</v>
      </c>
      <c r="V15" s="7">
        <v>23</v>
      </c>
      <c r="W15" s="8">
        <f t="shared" si="3"/>
        <v>100</v>
      </c>
      <c r="Y15" s="10">
        <v>11</v>
      </c>
      <c r="Z15" s="13" t="s">
        <v>21</v>
      </c>
      <c r="AA15" s="14">
        <v>26</v>
      </c>
      <c r="AB15" s="14">
        <v>26</v>
      </c>
      <c r="AC15" s="15">
        <f t="shared" si="4"/>
        <v>100</v>
      </c>
    </row>
    <row r="16" spans="1:29" ht="28.8" customHeight="1" x14ac:dyDescent="0.35">
      <c r="A16" s="3">
        <v>12</v>
      </c>
      <c r="B16" s="6" t="s">
        <v>22</v>
      </c>
      <c r="C16" s="7">
        <v>27</v>
      </c>
      <c r="D16" s="7">
        <v>27</v>
      </c>
      <c r="E16" s="8">
        <f t="shared" si="0"/>
        <v>100</v>
      </c>
      <c r="F16" s="2"/>
      <c r="G16" s="3">
        <v>12</v>
      </c>
      <c r="H16" s="6" t="s">
        <v>22</v>
      </c>
      <c r="I16" s="7">
        <v>22</v>
      </c>
      <c r="J16" s="7">
        <v>22</v>
      </c>
      <c r="K16" s="8">
        <f t="shared" si="1"/>
        <v>100</v>
      </c>
      <c r="L16" s="1"/>
      <c r="M16" s="3">
        <v>12</v>
      </c>
      <c r="N16" s="6" t="s">
        <v>22</v>
      </c>
      <c r="O16" s="7">
        <v>22</v>
      </c>
      <c r="P16" s="7">
        <v>22</v>
      </c>
      <c r="Q16" s="8">
        <f t="shared" si="2"/>
        <v>100</v>
      </c>
      <c r="R16" s="1"/>
      <c r="S16" s="3">
        <v>12</v>
      </c>
      <c r="T16" s="6" t="s">
        <v>22</v>
      </c>
      <c r="U16" s="7">
        <v>23</v>
      </c>
      <c r="V16" s="7">
        <v>21</v>
      </c>
      <c r="W16" s="8">
        <f t="shared" si="3"/>
        <v>91.304347826086953</v>
      </c>
      <c r="Y16" s="10">
        <v>12</v>
      </c>
      <c r="Z16" s="13" t="s">
        <v>22</v>
      </c>
      <c r="AA16" s="14">
        <v>26</v>
      </c>
      <c r="AB16" s="14">
        <v>26</v>
      </c>
      <c r="AC16" s="15">
        <f t="shared" si="4"/>
        <v>100</v>
      </c>
    </row>
    <row r="17" spans="1:33" ht="28.8" customHeight="1" x14ac:dyDescent="0.35">
      <c r="A17" s="3">
        <v>13</v>
      </c>
      <c r="B17" s="6" t="s">
        <v>23</v>
      </c>
      <c r="C17" s="7">
        <v>27</v>
      </c>
      <c r="D17" s="7">
        <v>27</v>
      </c>
      <c r="E17" s="8">
        <f t="shared" si="0"/>
        <v>100</v>
      </c>
      <c r="F17" s="2"/>
      <c r="G17" s="3">
        <v>13</v>
      </c>
      <c r="H17" s="6" t="s">
        <v>23</v>
      </c>
      <c r="I17" s="7">
        <v>22</v>
      </c>
      <c r="J17" s="7">
        <v>22</v>
      </c>
      <c r="K17" s="8">
        <f t="shared" si="1"/>
        <v>100</v>
      </c>
      <c r="L17" s="1"/>
      <c r="M17" s="3">
        <v>13</v>
      </c>
      <c r="N17" s="6" t="s">
        <v>23</v>
      </c>
      <c r="O17" s="7">
        <v>22</v>
      </c>
      <c r="P17" s="7">
        <v>22</v>
      </c>
      <c r="Q17" s="8">
        <f t="shared" si="2"/>
        <v>100</v>
      </c>
      <c r="R17" s="1"/>
      <c r="S17" s="3">
        <v>13</v>
      </c>
      <c r="T17" s="6" t="s">
        <v>23</v>
      </c>
      <c r="U17" s="7">
        <v>23</v>
      </c>
      <c r="V17" s="7">
        <v>23</v>
      </c>
      <c r="W17" s="8">
        <f t="shared" si="3"/>
        <v>100</v>
      </c>
      <c r="Y17" s="10">
        <v>13</v>
      </c>
      <c r="Z17" s="13" t="s">
        <v>23</v>
      </c>
      <c r="AA17" s="14">
        <v>26</v>
      </c>
      <c r="AB17" s="14">
        <v>26</v>
      </c>
      <c r="AC17" s="15">
        <f t="shared" si="4"/>
        <v>100</v>
      </c>
    </row>
    <row r="18" spans="1:33" ht="28.8" customHeight="1" x14ac:dyDescent="0.35">
      <c r="A18" s="3">
        <v>14</v>
      </c>
      <c r="B18" s="6" t="s">
        <v>24</v>
      </c>
      <c r="C18" s="7">
        <v>27</v>
      </c>
      <c r="D18" s="7">
        <v>27</v>
      </c>
      <c r="E18" s="8">
        <f t="shared" si="0"/>
        <v>100</v>
      </c>
      <c r="F18" s="2"/>
      <c r="G18" s="3">
        <v>14</v>
      </c>
      <c r="H18" s="6" t="s">
        <v>24</v>
      </c>
      <c r="I18" s="7">
        <v>22</v>
      </c>
      <c r="J18" s="7">
        <v>22</v>
      </c>
      <c r="K18" s="8">
        <f t="shared" si="1"/>
        <v>100</v>
      </c>
      <c r="L18" s="1"/>
      <c r="M18" s="3">
        <v>14</v>
      </c>
      <c r="N18" s="6" t="s">
        <v>24</v>
      </c>
      <c r="O18" s="7">
        <v>22</v>
      </c>
      <c r="P18" s="7">
        <v>22</v>
      </c>
      <c r="Q18" s="8">
        <f t="shared" si="2"/>
        <v>100</v>
      </c>
      <c r="R18" s="1"/>
      <c r="S18" s="3">
        <v>14</v>
      </c>
      <c r="T18" s="6" t="s">
        <v>24</v>
      </c>
      <c r="U18" s="7">
        <v>23</v>
      </c>
      <c r="V18" s="7">
        <v>23</v>
      </c>
      <c r="W18" s="8">
        <f t="shared" si="3"/>
        <v>100</v>
      </c>
      <c r="Y18" s="10">
        <v>14</v>
      </c>
      <c r="Z18" s="13" t="s">
        <v>24</v>
      </c>
      <c r="AA18" s="14">
        <v>26</v>
      </c>
      <c r="AB18" s="14">
        <v>26</v>
      </c>
      <c r="AC18" s="15">
        <f t="shared" si="4"/>
        <v>100</v>
      </c>
    </row>
    <row r="19" spans="1:33" ht="28.8" customHeight="1" x14ac:dyDescent="0.35">
      <c r="A19" s="3">
        <v>15</v>
      </c>
      <c r="B19" s="6" t="s">
        <v>25</v>
      </c>
      <c r="C19" s="7">
        <v>27</v>
      </c>
      <c r="D19" s="7">
        <v>27</v>
      </c>
      <c r="E19" s="8">
        <f t="shared" si="0"/>
        <v>100</v>
      </c>
      <c r="F19" s="2"/>
      <c r="G19" s="3">
        <v>15</v>
      </c>
      <c r="H19" s="6" t="s">
        <v>25</v>
      </c>
      <c r="I19" s="7">
        <v>22</v>
      </c>
      <c r="J19" s="7">
        <v>22</v>
      </c>
      <c r="K19" s="8">
        <f t="shared" si="1"/>
        <v>100</v>
      </c>
      <c r="L19" s="1"/>
      <c r="M19" s="3">
        <v>15</v>
      </c>
      <c r="N19" s="6" t="s">
        <v>25</v>
      </c>
      <c r="O19" s="7">
        <v>22</v>
      </c>
      <c r="P19" s="7">
        <v>22</v>
      </c>
      <c r="Q19" s="8">
        <f t="shared" si="2"/>
        <v>100</v>
      </c>
      <c r="R19" s="1"/>
      <c r="S19" s="3">
        <v>15</v>
      </c>
      <c r="T19" s="6" t="s">
        <v>25</v>
      </c>
      <c r="U19" s="7">
        <v>23</v>
      </c>
      <c r="V19" s="7">
        <v>23</v>
      </c>
      <c r="W19" s="8">
        <f t="shared" si="3"/>
        <v>100</v>
      </c>
      <c r="Y19" s="10">
        <v>15</v>
      </c>
      <c r="Z19" s="13" t="s">
        <v>25</v>
      </c>
      <c r="AA19" s="14">
        <v>26</v>
      </c>
      <c r="AB19" s="14">
        <v>26</v>
      </c>
      <c r="AC19" s="15">
        <f t="shared" si="4"/>
        <v>100</v>
      </c>
    </row>
    <row r="20" spans="1:33" ht="28.8" customHeight="1" x14ac:dyDescent="0.35">
      <c r="A20" s="3">
        <v>16</v>
      </c>
      <c r="B20" s="6" t="s">
        <v>26</v>
      </c>
      <c r="C20" s="7">
        <v>27</v>
      </c>
      <c r="D20" s="7">
        <v>27</v>
      </c>
      <c r="E20" s="8">
        <f t="shared" si="0"/>
        <v>100</v>
      </c>
      <c r="F20" s="2"/>
      <c r="G20" s="3">
        <v>16</v>
      </c>
      <c r="H20" s="6" t="s">
        <v>26</v>
      </c>
      <c r="I20" s="7">
        <v>22</v>
      </c>
      <c r="J20" s="7">
        <v>22</v>
      </c>
      <c r="K20" s="8">
        <f t="shared" si="1"/>
        <v>100</v>
      </c>
      <c r="L20" s="1"/>
      <c r="M20" s="3">
        <v>16</v>
      </c>
      <c r="N20" s="6" t="s">
        <v>26</v>
      </c>
      <c r="O20" s="7">
        <v>22</v>
      </c>
      <c r="P20" s="7">
        <v>22</v>
      </c>
      <c r="Q20" s="8">
        <f t="shared" si="2"/>
        <v>100</v>
      </c>
      <c r="R20" s="1"/>
      <c r="S20" s="3">
        <v>16</v>
      </c>
      <c r="T20" s="6" t="s">
        <v>26</v>
      </c>
      <c r="U20" s="7">
        <v>23</v>
      </c>
      <c r="V20" s="7">
        <v>23</v>
      </c>
      <c r="W20" s="8">
        <f t="shared" si="3"/>
        <v>100</v>
      </c>
      <c r="Y20" s="10">
        <v>16</v>
      </c>
      <c r="Z20" s="13" t="s">
        <v>26</v>
      </c>
      <c r="AA20" s="14">
        <v>26</v>
      </c>
      <c r="AB20" s="14">
        <v>26</v>
      </c>
      <c r="AC20" s="15">
        <f t="shared" si="4"/>
        <v>100</v>
      </c>
    </row>
    <row r="21" spans="1:33" ht="28.8" customHeight="1" x14ac:dyDescent="0.35">
      <c r="A21" s="3">
        <v>17</v>
      </c>
      <c r="B21" s="9" t="s">
        <v>27</v>
      </c>
      <c r="C21" s="7">
        <v>27</v>
      </c>
      <c r="D21" s="7">
        <v>27</v>
      </c>
      <c r="E21" s="8">
        <f t="shared" si="0"/>
        <v>100</v>
      </c>
      <c r="F21" s="2"/>
      <c r="G21" s="3">
        <v>17</v>
      </c>
      <c r="H21" s="9" t="s">
        <v>27</v>
      </c>
      <c r="I21" s="7">
        <v>22</v>
      </c>
      <c r="J21" s="7">
        <v>22</v>
      </c>
      <c r="K21" s="8">
        <f t="shared" si="1"/>
        <v>100</v>
      </c>
      <c r="L21" s="1"/>
      <c r="M21" s="3">
        <v>17</v>
      </c>
      <c r="N21" s="9" t="s">
        <v>27</v>
      </c>
      <c r="O21" s="7">
        <v>22</v>
      </c>
      <c r="P21" s="7">
        <v>22</v>
      </c>
      <c r="Q21" s="8">
        <f t="shared" si="2"/>
        <v>100</v>
      </c>
      <c r="R21" s="1"/>
      <c r="S21" s="3">
        <v>17</v>
      </c>
      <c r="T21" s="9" t="s">
        <v>27</v>
      </c>
      <c r="U21" s="7">
        <v>23</v>
      </c>
      <c r="V21" s="7">
        <v>23</v>
      </c>
      <c r="W21" s="8">
        <f t="shared" si="3"/>
        <v>100</v>
      </c>
      <c r="Y21" s="10">
        <v>17</v>
      </c>
      <c r="Z21" s="16" t="s">
        <v>27</v>
      </c>
      <c r="AA21" s="14">
        <v>26</v>
      </c>
      <c r="AB21" s="14">
        <v>26</v>
      </c>
      <c r="AC21" s="15">
        <f t="shared" si="4"/>
        <v>100</v>
      </c>
    </row>
    <row r="22" spans="1:33" ht="28.8" customHeight="1" x14ac:dyDescent="0.35">
      <c r="A22" s="17"/>
      <c r="B22" s="18"/>
      <c r="C22" s="19"/>
      <c r="D22" s="20"/>
      <c r="E22" s="21"/>
      <c r="F22" s="22"/>
    </row>
    <row r="23" spans="1:33" ht="28.8" customHeight="1" x14ac:dyDescent="0.35">
      <c r="A23" s="23"/>
      <c r="B23" s="24"/>
      <c r="C23" s="25" t="s">
        <v>28</v>
      </c>
      <c r="D23" s="25"/>
      <c r="E23" s="25"/>
      <c r="F23" s="2"/>
      <c r="G23" s="23"/>
      <c r="H23" s="24"/>
      <c r="I23" s="25" t="s">
        <v>29</v>
      </c>
      <c r="J23" s="25"/>
      <c r="K23" s="25"/>
      <c r="L23" s="1"/>
      <c r="M23" s="23"/>
      <c r="N23" s="24"/>
      <c r="O23" s="25" t="s">
        <v>30</v>
      </c>
      <c r="P23" s="25"/>
      <c r="Q23" s="25"/>
      <c r="R23" s="1"/>
      <c r="S23" s="23"/>
      <c r="T23" s="24"/>
      <c r="U23" s="25" t="s">
        <v>31</v>
      </c>
      <c r="V23" s="25"/>
      <c r="W23" s="25"/>
      <c r="X23" s="1"/>
      <c r="Y23" s="23"/>
      <c r="Z23" s="24"/>
      <c r="AA23" s="25" t="s">
        <v>32</v>
      </c>
      <c r="AB23" s="25"/>
      <c r="AC23" s="25"/>
      <c r="AD23" s="1"/>
      <c r="AE23" s="1"/>
      <c r="AF23" s="1"/>
      <c r="AG23" s="1"/>
    </row>
    <row r="24" spans="1:33" ht="28.8" customHeight="1" x14ac:dyDescent="0.35">
      <c r="A24" s="3" t="s">
        <v>6</v>
      </c>
      <c r="B24" s="4" t="s">
        <v>7</v>
      </c>
      <c r="C24" s="5" t="s">
        <v>8</v>
      </c>
      <c r="D24" s="5" t="s">
        <v>9</v>
      </c>
      <c r="E24" s="5" t="s">
        <v>10</v>
      </c>
      <c r="F24" s="2"/>
      <c r="G24" s="3" t="s">
        <v>6</v>
      </c>
      <c r="H24" s="4" t="s">
        <v>7</v>
      </c>
      <c r="I24" s="5" t="s">
        <v>8</v>
      </c>
      <c r="J24" s="5" t="s">
        <v>9</v>
      </c>
      <c r="K24" s="5" t="s">
        <v>10</v>
      </c>
      <c r="L24" s="1"/>
      <c r="M24" s="3" t="s">
        <v>6</v>
      </c>
      <c r="N24" s="4" t="s">
        <v>7</v>
      </c>
      <c r="O24" s="5" t="s">
        <v>8</v>
      </c>
      <c r="P24" s="5" t="s">
        <v>9</v>
      </c>
      <c r="Q24" s="5" t="s">
        <v>10</v>
      </c>
      <c r="R24" s="1"/>
      <c r="S24" s="3" t="s">
        <v>6</v>
      </c>
      <c r="T24" s="4" t="s">
        <v>7</v>
      </c>
      <c r="U24" s="5" t="s">
        <v>8</v>
      </c>
      <c r="V24" s="5" t="s">
        <v>9</v>
      </c>
      <c r="W24" s="5" t="s">
        <v>10</v>
      </c>
      <c r="X24" s="1"/>
      <c r="Y24" s="3" t="s">
        <v>6</v>
      </c>
      <c r="Z24" s="4" t="s">
        <v>7</v>
      </c>
      <c r="AA24" s="5" t="s">
        <v>8</v>
      </c>
      <c r="AB24" s="5" t="s">
        <v>9</v>
      </c>
      <c r="AC24" s="5" t="s">
        <v>10</v>
      </c>
      <c r="AD24" s="1"/>
      <c r="AE24" s="1"/>
      <c r="AF24" s="1"/>
      <c r="AG24" s="1"/>
    </row>
    <row r="25" spans="1:33" ht="28.8" customHeight="1" x14ac:dyDescent="0.35">
      <c r="A25" s="3">
        <v>1</v>
      </c>
      <c r="B25" s="6" t="s">
        <v>11</v>
      </c>
      <c r="C25" s="7">
        <v>24</v>
      </c>
      <c r="D25" s="7">
        <v>24</v>
      </c>
      <c r="E25" s="8">
        <f>D25*100/24</f>
        <v>100</v>
      </c>
      <c r="F25" s="2"/>
      <c r="G25" s="3">
        <v>1</v>
      </c>
      <c r="H25" s="6" t="s">
        <v>11</v>
      </c>
      <c r="I25" s="7">
        <v>27</v>
      </c>
      <c r="J25" s="7">
        <v>27</v>
      </c>
      <c r="K25" s="8">
        <f>J25*100/27</f>
        <v>100</v>
      </c>
      <c r="L25" s="1"/>
      <c r="M25" s="3">
        <v>1</v>
      </c>
      <c r="N25" s="6" t="s">
        <v>11</v>
      </c>
      <c r="O25" s="7">
        <v>24</v>
      </c>
      <c r="P25" s="7">
        <v>24</v>
      </c>
      <c r="Q25" s="8">
        <f>P25*100/24</f>
        <v>100</v>
      </c>
      <c r="R25" s="1"/>
      <c r="S25" s="3">
        <v>1</v>
      </c>
      <c r="T25" s="6" t="s">
        <v>11</v>
      </c>
      <c r="U25" s="7">
        <v>24</v>
      </c>
      <c r="V25" s="7">
        <v>24</v>
      </c>
      <c r="W25" s="8">
        <f>V25*100/24</f>
        <v>100</v>
      </c>
      <c r="X25" s="1"/>
      <c r="Y25" s="3">
        <v>1</v>
      </c>
      <c r="Z25" s="6" t="s">
        <v>11</v>
      </c>
      <c r="AA25" s="7">
        <v>24</v>
      </c>
      <c r="AB25" s="7">
        <v>24</v>
      </c>
      <c r="AC25" s="8">
        <f>AB25*100/24</f>
        <v>100</v>
      </c>
      <c r="AD25" s="1"/>
      <c r="AE25" s="1"/>
      <c r="AF25" s="1"/>
      <c r="AG25" s="1"/>
    </row>
    <row r="26" spans="1:33" ht="28.8" customHeight="1" x14ac:dyDescent="0.35">
      <c r="A26" s="3">
        <v>2</v>
      </c>
      <c r="B26" s="6" t="s">
        <v>12</v>
      </c>
      <c r="C26" s="7">
        <v>24</v>
      </c>
      <c r="D26" s="5">
        <v>22</v>
      </c>
      <c r="E26" s="8">
        <f t="shared" ref="E26:E41" si="5">D26*100/24</f>
        <v>91.666666666666671</v>
      </c>
      <c r="F26" s="2"/>
      <c r="G26" s="3">
        <v>2</v>
      </c>
      <c r="H26" s="6" t="s">
        <v>12</v>
      </c>
      <c r="I26" s="7">
        <v>27</v>
      </c>
      <c r="J26" s="7">
        <v>25</v>
      </c>
      <c r="K26" s="8">
        <f t="shared" ref="K26:K41" si="6">J26*100/27</f>
        <v>92.592592592592595</v>
      </c>
      <c r="L26" s="1"/>
      <c r="M26" s="3">
        <v>2</v>
      </c>
      <c r="N26" s="6" t="s">
        <v>12</v>
      </c>
      <c r="O26" s="7">
        <v>24</v>
      </c>
      <c r="P26" s="7">
        <v>24</v>
      </c>
      <c r="Q26" s="8">
        <f t="shared" ref="Q26:Q41" si="7">P26*100/27</f>
        <v>88.888888888888886</v>
      </c>
      <c r="R26" s="1"/>
      <c r="S26" s="3">
        <v>2</v>
      </c>
      <c r="T26" s="6" t="s">
        <v>12</v>
      </c>
      <c r="U26" s="7">
        <v>24</v>
      </c>
      <c r="V26" s="7">
        <v>24</v>
      </c>
      <c r="W26" s="8">
        <f t="shared" ref="W26:W41" si="8">V26*100/27</f>
        <v>88.888888888888886</v>
      </c>
      <c r="X26" s="1"/>
      <c r="Y26" s="3">
        <v>2</v>
      </c>
      <c r="Z26" s="6" t="s">
        <v>12</v>
      </c>
      <c r="AA26" s="7">
        <v>24</v>
      </c>
      <c r="AB26" s="7">
        <v>24</v>
      </c>
      <c r="AC26" s="8">
        <f t="shared" ref="AC26:AC41" si="9">AB26*100/27</f>
        <v>88.888888888888886</v>
      </c>
      <c r="AD26" s="1"/>
      <c r="AE26" s="1"/>
      <c r="AF26" s="1"/>
      <c r="AG26" s="1"/>
    </row>
    <row r="27" spans="1:33" ht="28.8" customHeight="1" x14ac:dyDescent="0.35">
      <c r="A27" s="3">
        <v>3</v>
      </c>
      <c r="B27" s="6" t="s">
        <v>13</v>
      </c>
      <c r="C27" s="7">
        <v>24</v>
      </c>
      <c r="D27" s="7">
        <v>21</v>
      </c>
      <c r="E27" s="8">
        <f t="shared" si="5"/>
        <v>87.5</v>
      </c>
      <c r="F27" s="2"/>
      <c r="G27" s="3">
        <v>3</v>
      </c>
      <c r="H27" s="6" t="s">
        <v>13</v>
      </c>
      <c r="I27" s="7">
        <v>27</v>
      </c>
      <c r="J27" s="7">
        <v>27</v>
      </c>
      <c r="K27" s="8">
        <f t="shared" si="6"/>
        <v>100</v>
      </c>
      <c r="L27" s="1"/>
      <c r="M27" s="3">
        <v>3</v>
      </c>
      <c r="N27" s="6" t="s">
        <v>13</v>
      </c>
      <c r="O27" s="7">
        <v>24</v>
      </c>
      <c r="P27" s="7">
        <v>24</v>
      </c>
      <c r="Q27" s="8">
        <f t="shared" si="7"/>
        <v>88.888888888888886</v>
      </c>
      <c r="R27" s="1"/>
      <c r="S27" s="3">
        <v>3</v>
      </c>
      <c r="T27" s="6" t="s">
        <v>13</v>
      </c>
      <c r="U27" s="7">
        <v>24</v>
      </c>
      <c r="V27" s="7">
        <v>24</v>
      </c>
      <c r="W27" s="8">
        <f t="shared" si="8"/>
        <v>88.888888888888886</v>
      </c>
      <c r="X27" s="1"/>
      <c r="Y27" s="3">
        <v>3</v>
      </c>
      <c r="Z27" s="6" t="s">
        <v>13</v>
      </c>
      <c r="AA27" s="7">
        <v>24</v>
      </c>
      <c r="AB27" s="7">
        <v>24</v>
      </c>
      <c r="AC27" s="8">
        <f t="shared" si="9"/>
        <v>88.888888888888886</v>
      </c>
      <c r="AD27" s="1"/>
      <c r="AE27" s="1"/>
      <c r="AF27" s="1"/>
      <c r="AG27" s="1"/>
    </row>
    <row r="28" spans="1:33" ht="28.8" customHeight="1" x14ac:dyDescent="0.35">
      <c r="A28" s="3">
        <v>4</v>
      </c>
      <c r="B28" s="6" t="s">
        <v>14</v>
      </c>
      <c r="C28" s="7">
        <v>24</v>
      </c>
      <c r="D28" s="7">
        <v>24</v>
      </c>
      <c r="E28" s="8">
        <f t="shared" si="5"/>
        <v>100</v>
      </c>
      <c r="F28" s="2"/>
      <c r="G28" s="3">
        <v>4</v>
      </c>
      <c r="H28" s="6" t="s">
        <v>13</v>
      </c>
      <c r="I28" s="7">
        <v>27</v>
      </c>
      <c r="J28" s="7">
        <v>27</v>
      </c>
      <c r="K28" s="8">
        <f t="shared" si="6"/>
        <v>100</v>
      </c>
      <c r="L28" s="1"/>
      <c r="M28" s="3">
        <v>4</v>
      </c>
      <c r="N28" s="6" t="s">
        <v>13</v>
      </c>
      <c r="O28" s="7">
        <v>24</v>
      </c>
      <c r="P28" s="7">
        <v>24</v>
      </c>
      <c r="Q28" s="8">
        <f t="shared" si="7"/>
        <v>88.888888888888886</v>
      </c>
      <c r="R28" s="1"/>
      <c r="S28" s="3">
        <v>4</v>
      </c>
      <c r="T28" s="6" t="s">
        <v>13</v>
      </c>
      <c r="U28" s="7">
        <v>24</v>
      </c>
      <c r="V28" s="7">
        <v>24</v>
      </c>
      <c r="W28" s="8">
        <f t="shared" si="8"/>
        <v>88.888888888888886</v>
      </c>
      <c r="X28" s="1"/>
      <c r="Y28" s="3">
        <v>4</v>
      </c>
      <c r="Z28" s="6" t="s">
        <v>13</v>
      </c>
      <c r="AA28" s="7">
        <v>24</v>
      </c>
      <c r="AB28" s="7">
        <v>24</v>
      </c>
      <c r="AC28" s="8">
        <f t="shared" si="9"/>
        <v>88.888888888888886</v>
      </c>
      <c r="AD28" s="1"/>
      <c r="AE28" s="1"/>
      <c r="AF28" s="1"/>
      <c r="AG28" s="1"/>
    </row>
    <row r="29" spans="1:33" ht="28.8" customHeight="1" x14ac:dyDescent="0.35">
      <c r="A29" s="3">
        <v>5</v>
      </c>
      <c r="B29" s="6" t="s">
        <v>15</v>
      </c>
      <c r="C29" s="7">
        <v>24</v>
      </c>
      <c r="D29" s="7">
        <v>23</v>
      </c>
      <c r="E29" s="8">
        <f t="shared" si="5"/>
        <v>95.833333333333329</v>
      </c>
      <c r="F29" s="2"/>
      <c r="G29" s="3">
        <v>5</v>
      </c>
      <c r="H29" s="6" t="s">
        <v>15</v>
      </c>
      <c r="I29" s="7">
        <v>27</v>
      </c>
      <c r="J29" s="7">
        <v>27</v>
      </c>
      <c r="K29" s="8">
        <f t="shared" si="6"/>
        <v>100</v>
      </c>
      <c r="L29" s="1"/>
      <c r="M29" s="3">
        <v>5</v>
      </c>
      <c r="N29" s="6" t="s">
        <v>15</v>
      </c>
      <c r="O29" s="7">
        <v>24</v>
      </c>
      <c r="P29" s="7">
        <v>24</v>
      </c>
      <c r="Q29" s="8">
        <f t="shared" si="7"/>
        <v>88.888888888888886</v>
      </c>
      <c r="R29" s="1"/>
      <c r="S29" s="3">
        <v>5</v>
      </c>
      <c r="T29" s="6" t="s">
        <v>15</v>
      </c>
      <c r="U29" s="7">
        <v>24</v>
      </c>
      <c r="V29" s="7">
        <v>24</v>
      </c>
      <c r="W29" s="8">
        <f t="shared" si="8"/>
        <v>88.888888888888886</v>
      </c>
      <c r="X29" s="1"/>
      <c r="Y29" s="3">
        <v>5</v>
      </c>
      <c r="Z29" s="6" t="s">
        <v>15</v>
      </c>
      <c r="AA29" s="7">
        <v>24</v>
      </c>
      <c r="AB29" s="7">
        <v>24</v>
      </c>
      <c r="AC29" s="8">
        <f t="shared" si="9"/>
        <v>88.888888888888886</v>
      </c>
      <c r="AD29" s="1"/>
      <c r="AE29" s="1"/>
      <c r="AF29" s="1"/>
      <c r="AG29" s="1"/>
    </row>
    <row r="30" spans="1:33" ht="28.8" customHeight="1" x14ac:dyDescent="0.35">
      <c r="A30" s="3">
        <v>6</v>
      </c>
      <c r="B30" s="6" t="s">
        <v>16</v>
      </c>
      <c r="C30" s="7">
        <v>24</v>
      </c>
      <c r="D30" s="7">
        <v>24</v>
      </c>
      <c r="E30" s="8">
        <f t="shared" si="5"/>
        <v>100</v>
      </c>
      <c r="F30" s="2"/>
      <c r="G30" s="3">
        <v>6</v>
      </c>
      <c r="H30" s="6" t="s">
        <v>16</v>
      </c>
      <c r="I30" s="7">
        <v>27</v>
      </c>
      <c r="J30" s="7">
        <v>27</v>
      </c>
      <c r="K30" s="8">
        <f t="shared" si="6"/>
        <v>100</v>
      </c>
      <c r="L30" s="1"/>
      <c r="M30" s="3">
        <v>6</v>
      </c>
      <c r="N30" s="6" t="s">
        <v>16</v>
      </c>
      <c r="O30" s="7">
        <v>24</v>
      </c>
      <c r="P30" s="7">
        <v>24</v>
      </c>
      <c r="Q30" s="8">
        <f t="shared" si="7"/>
        <v>88.888888888888886</v>
      </c>
      <c r="R30" s="1"/>
      <c r="S30" s="3">
        <v>6</v>
      </c>
      <c r="T30" s="6" t="s">
        <v>16</v>
      </c>
      <c r="U30" s="7">
        <v>24</v>
      </c>
      <c r="V30" s="7">
        <v>24</v>
      </c>
      <c r="W30" s="8">
        <f t="shared" si="8"/>
        <v>88.888888888888886</v>
      </c>
      <c r="X30" s="1"/>
      <c r="Y30" s="3">
        <v>6</v>
      </c>
      <c r="Z30" s="6" t="s">
        <v>16</v>
      </c>
      <c r="AA30" s="7">
        <v>24</v>
      </c>
      <c r="AB30" s="7">
        <v>24</v>
      </c>
      <c r="AC30" s="8">
        <f t="shared" si="9"/>
        <v>88.888888888888886</v>
      </c>
      <c r="AD30" s="1"/>
      <c r="AE30" s="1"/>
      <c r="AF30" s="1"/>
      <c r="AG30" s="1"/>
    </row>
    <row r="31" spans="1:33" ht="28.8" customHeight="1" x14ac:dyDescent="0.35">
      <c r="A31" s="3">
        <v>7</v>
      </c>
      <c r="B31" s="6" t="s">
        <v>17</v>
      </c>
      <c r="C31" s="7">
        <v>24</v>
      </c>
      <c r="D31" s="7">
        <v>24</v>
      </c>
      <c r="E31" s="8">
        <f t="shared" si="5"/>
        <v>100</v>
      </c>
      <c r="F31" s="2"/>
      <c r="G31" s="3">
        <v>7</v>
      </c>
      <c r="H31" s="6" t="s">
        <v>17</v>
      </c>
      <c r="I31" s="7">
        <v>27</v>
      </c>
      <c r="J31" s="7">
        <v>25</v>
      </c>
      <c r="K31" s="8">
        <f t="shared" si="6"/>
        <v>92.592592592592595</v>
      </c>
      <c r="L31" s="1"/>
      <c r="M31" s="3">
        <v>7</v>
      </c>
      <c r="N31" s="6" t="s">
        <v>17</v>
      </c>
      <c r="O31" s="7">
        <v>24</v>
      </c>
      <c r="P31" s="7">
        <v>24</v>
      </c>
      <c r="Q31" s="8">
        <f t="shared" si="7"/>
        <v>88.888888888888886</v>
      </c>
      <c r="R31" s="1"/>
      <c r="S31" s="3">
        <v>7</v>
      </c>
      <c r="T31" s="6" t="s">
        <v>17</v>
      </c>
      <c r="U31" s="7">
        <v>24</v>
      </c>
      <c r="V31" s="7">
        <v>24</v>
      </c>
      <c r="W31" s="8">
        <f t="shared" si="8"/>
        <v>88.888888888888886</v>
      </c>
      <c r="X31" s="1"/>
      <c r="Y31" s="3">
        <v>7</v>
      </c>
      <c r="Z31" s="6" t="s">
        <v>17</v>
      </c>
      <c r="AA31" s="7">
        <v>24</v>
      </c>
      <c r="AB31" s="7">
        <v>24</v>
      </c>
      <c r="AC31" s="8">
        <f t="shared" si="9"/>
        <v>88.888888888888886</v>
      </c>
      <c r="AD31" s="1"/>
      <c r="AE31" s="1"/>
      <c r="AF31" s="1"/>
      <c r="AG31" s="1"/>
    </row>
    <row r="32" spans="1:33" ht="28.8" customHeight="1" x14ac:dyDescent="0.35">
      <c r="A32" s="3">
        <v>8</v>
      </c>
      <c r="B32" s="6" t="s">
        <v>18</v>
      </c>
      <c r="C32" s="7">
        <v>24</v>
      </c>
      <c r="D32" s="7">
        <v>24</v>
      </c>
      <c r="E32" s="8">
        <f t="shared" si="5"/>
        <v>100</v>
      </c>
      <c r="F32" s="2"/>
      <c r="G32" s="3">
        <v>8</v>
      </c>
      <c r="H32" s="6" t="s">
        <v>18</v>
      </c>
      <c r="I32" s="7">
        <v>27</v>
      </c>
      <c r="J32" s="7">
        <v>27</v>
      </c>
      <c r="K32" s="8">
        <f t="shared" si="6"/>
        <v>100</v>
      </c>
      <c r="L32" s="1"/>
      <c r="M32" s="3">
        <v>8</v>
      </c>
      <c r="N32" s="6" t="s">
        <v>18</v>
      </c>
      <c r="O32" s="7">
        <v>24</v>
      </c>
      <c r="P32" s="7">
        <v>24</v>
      </c>
      <c r="Q32" s="8">
        <f t="shared" si="7"/>
        <v>88.888888888888886</v>
      </c>
      <c r="R32" s="1"/>
      <c r="S32" s="3">
        <v>8</v>
      </c>
      <c r="T32" s="6" t="s">
        <v>18</v>
      </c>
      <c r="U32" s="7">
        <v>24</v>
      </c>
      <c r="V32" s="7">
        <v>24</v>
      </c>
      <c r="W32" s="8">
        <f t="shared" si="8"/>
        <v>88.888888888888886</v>
      </c>
      <c r="X32" s="1"/>
      <c r="Y32" s="3">
        <v>8</v>
      </c>
      <c r="Z32" s="6" t="s">
        <v>18</v>
      </c>
      <c r="AA32" s="7">
        <v>24</v>
      </c>
      <c r="AB32" s="7">
        <v>24</v>
      </c>
      <c r="AC32" s="8">
        <f t="shared" si="9"/>
        <v>88.888888888888886</v>
      </c>
      <c r="AD32" s="1"/>
      <c r="AE32" s="1"/>
      <c r="AF32" s="1"/>
      <c r="AG32" s="1"/>
    </row>
    <row r="33" spans="1:33" ht="28.8" customHeight="1" x14ac:dyDescent="0.35">
      <c r="A33" s="3">
        <v>9</v>
      </c>
      <c r="B33" s="6" t="s">
        <v>19</v>
      </c>
      <c r="C33" s="7">
        <v>24</v>
      </c>
      <c r="D33" s="7">
        <v>24</v>
      </c>
      <c r="E33" s="8">
        <f t="shared" si="5"/>
        <v>100</v>
      </c>
      <c r="F33" s="2"/>
      <c r="G33" s="3">
        <v>9</v>
      </c>
      <c r="H33" s="6" t="s">
        <v>19</v>
      </c>
      <c r="I33" s="7">
        <v>27</v>
      </c>
      <c r="J33" s="7">
        <v>27</v>
      </c>
      <c r="K33" s="8">
        <f t="shared" si="6"/>
        <v>100</v>
      </c>
      <c r="L33" s="1"/>
      <c r="M33" s="3">
        <v>9</v>
      </c>
      <c r="N33" s="6" t="s">
        <v>19</v>
      </c>
      <c r="O33" s="7">
        <v>24</v>
      </c>
      <c r="P33" s="7">
        <v>24</v>
      </c>
      <c r="Q33" s="8">
        <f t="shared" si="7"/>
        <v>88.888888888888886</v>
      </c>
      <c r="R33" s="1"/>
      <c r="S33" s="3">
        <v>9</v>
      </c>
      <c r="T33" s="6" t="s">
        <v>19</v>
      </c>
      <c r="U33" s="7">
        <v>24</v>
      </c>
      <c r="V33" s="7">
        <v>24</v>
      </c>
      <c r="W33" s="8">
        <f t="shared" si="8"/>
        <v>88.888888888888886</v>
      </c>
      <c r="X33" s="1"/>
      <c r="Y33" s="3">
        <v>9</v>
      </c>
      <c r="Z33" s="6" t="s">
        <v>19</v>
      </c>
      <c r="AA33" s="7">
        <v>24</v>
      </c>
      <c r="AB33" s="7">
        <v>24</v>
      </c>
      <c r="AC33" s="8">
        <f t="shared" si="9"/>
        <v>88.888888888888886</v>
      </c>
      <c r="AD33" s="1"/>
      <c r="AE33" s="1"/>
      <c r="AF33" s="1"/>
      <c r="AG33" s="1"/>
    </row>
    <row r="34" spans="1:33" ht="28.8" customHeight="1" x14ac:dyDescent="0.35">
      <c r="A34" s="3">
        <v>10</v>
      </c>
      <c r="B34" s="6" t="s">
        <v>20</v>
      </c>
      <c r="C34" s="7">
        <v>24</v>
      </c>
      <c r="D34" s="7">
        <v>23</v>
      </c>
      <c r="E34" s="8">
        <f t="shared" si="5"/>
        <v>95.833333333333329</v>
      </c>
      <c r="F34" s="2"/>
      <c r="G34" s="3">
        <v>10</v>
      </c>
      <c r="H34" s="6" t="s">
        <v>20</v>
      </c>
      <c r="I34" s="7">
        <v>27</v>
      </c>
      <c r="J34" s="7">
        <v>27</v>
      </c>
      <c r="K34" s="8">
        <f t="shared" si="6"/>
        <v>100</v>
      </c>
      <c r="L34" s="1"/>
      <c r="M34" s="3">
        <v>10</v>
      </c>
      <c r="N34" s="6" t="s">
        <v>20</v>
      </c>
      <c r="O34" s="7">
        <v>24</v>
      </c>
      <c r="P34" s="7">
        <v>24</v>
      </c>
      <c r="Q34" s="8">
        <f t="shared" si="7"/>
        <v>88.888888888888886</v>
      </c>
      <c r="R34" s="1"/>
      <c r="S34" s="3">
        <v>10</v>
      </c>
      <c r="T34" s="6" t="s">
        <v>20</v>
      </c>
      <c r="U34" s="7">
        <v>24</v>
      </c>
      <c r="V34" s="7">
        <v>24</v>
      </c>
      <c r="W34" s="8">
        <f t="shared" si="8"/>
        <v>88.888888888888886</v>
      </c>
      <c r="X34" s="1"/>
      <c r="Y34" s="3">
        <v>10</v>
      </c>
      <c r="Z34" s="6" t="s">
        <v>20</v>
      </c>
      <c r="AA34" s="7">
        <v>24</v>
      </c>
      <c r="AB34" s="7">
        <v>24</v>
      </c>
      <c r="AC34" s="8">
        <f t="shared" si="9"/>
        <v>88.888888888888886</v>
      </c>
      <c r="AD34" s="1"/>
      <c r="AE34" s="1"/>
      <c r="AF34" s="1"/>
      <c r="AG34" s="1"/>
    </row>
    <row r="35" spans="1:33" ht="28.8" customHeight="1" x14ac:dyDescent="0.35">
      <c r="A35" s="3">
        <v>11</v>
      </c>
      <c r="B35" s="6" t="s">
        <v>21</v>
      </c>
      <c r="C35" s="7">
        <v>24</v>
      </c>
      <c r="D35" s="7">
        <v>24</v>
      </c>
      <c r="E35" s="8">
        <f t="shared" si="5"/>
        <v>100</v>
      </c>
      <c r="F35" s="2"/>
      <c r="G35" s="3">
        <v>11</v>
      </c>
      <c r="H35" s="6" t="s">
        <v>21</v>
      </c>
      <c r="I35" s="7">
        <v>27</v>
      </c>
      <c r="J35" s="7">
        <v>27</v>
      </c>
      <c r="K35" s="8">
        <f t="shared" si="6"/>
        <v>100</v>
      </c>
      <c r="L35" s="1"/>
      <c r="M35" s="3">
        <v>11</v>
      </c>
      <c r="N35" s="6" t="s">
        <v>21</v>
      </c>
      <c r="O35" s="7">
        <v>24</v>
      </c>
      <c r="P35" s="7">
        <v>24</v>
      </c>
      <c r="Q35" s="8">
        <f t="shared" si="7"/>
        <v>88.888888888888886</v>
      </c>
      <c r="R35" s="1"/>
      <c r="S35" s="3">
        <v>11</v>
      </c>
      <c r="T35" s="6" t="s">
        <v>21</v>
      </c>
      <c r="U35" s="7">
        <v>24</v>
      </c>
      <c r="V35" s="7">
        <v>24</v>
      </c>
      <c r="W35" s="8">
        <f t="shared" si="8"/>
        <v>88.888888888888886</v>
      </c>
      <c r="X35" s="1"/>
      <c r="Y35" s="3">
        <v>11</v>
      </c>
      <c r="Z35" s="6" t="s">
        <v>21</v>
      </c>
      <c r="AA35" s="7">
        <v>24</v>
      </c>
      <c r="AB35" s="7">
        <v>24</v>
      </c>
      <c r="AC35" s="8">
        <f t="shared" si="9"/>
        <v>88.888888888888886</v>
      </c>
      <c r="AD35" s="1"/>
      <c r="AE35" s="1"/>
      <c r="AF35" s="1"/>
      <c r="AG35" s="1"/>
    </row>
    <row r="36" spans="1:33" ht="28.8" customHeight="1" x14ac:dyDescent="0.35">
      <c r="A36" s="3">
        <v>12</v>
      </c>
      <c r="B36" s="6" t="s">
        <v>22</v>
      </c>
      <c r="C36" s="7">
        <v>24</v>
      </c>
      <c r="D36" s="7">
        <v>24</v>
      </c>
      <c r="E36" s="8">
        <f t="shared" si="5"/>
        <v>100</v>
      </c>
      <c r="F36" s="2"/>
      <c r="G36" s="3">
        <v>12</v>
      </c>
      <c r="H36" s="6" t="s">
        <v>22</v>
      </c>
      <c r="I36" s="7">
        <v>27</v>
      </c>
      <c r="J36" s="7">
        <v>27</v>
      </c>
      <c r="K36" s="8">
        <f t="shared" si="6"/>
        <v>100</v>
      </c>
      <c r="L36" s="1"/>
      <c r="M36" s="3">
        <v>12</v>
      </c>
      <c r="N36" s="6" t="s">
        <v>22</v>
      </c>
      <c r="O36" s="7">
        <v>24</v>
      </c>
      <c r="P36" s="7">
        <v>24</v>
      </c>
      <c r="Q36" s="8">
        <f t="shared" si="7"/>
        <v>88.888888888888886</v>
      </c>
      <c r="R36" s="1"/>
      <c r="S36" s="3">
        <v>12</v>
      </c>
      <c r="T36" s="6" t="s">
        <v>22</v>
      </c>
      <c r="U36" s="7">
        <v>24</v>
      </c>
      <c r="V36" s="7">
        <v>24</v>
      </c>
      <c r="W36" s="8">
        <f t="shared" si="8"/>
        <v>88.888888888888886</v>
      </c>
      <c r="X36" s="1"/>
      <c r="Y36" s="3">
        <v>12</v>
      </c>
      <c r="Z36" s="6" t="s">
        <v>22</v>
      </c>
      <c r="AA36" s="7">
        <v>24</v>
      </c>
      <c r="AB36" s="7">
        <v>24</v>
      </c>
      <c r="AC36" s="8">
        <f t="shared" si="9"/>
        <v>88.888888888888886</v>
      </c>
      <c r="AD36" s="1"/>
      <c r="AE36" s="1"/>
      <c r="AF36" s="1"/>
      <c r="AG36" s="1"/>
    </row>
    <row r="37" spans="1:33" ht="28.8" customHeight="1" x14ac:dyDescent="0.35">
      <c r="A37" s="3">
        <v>13</v>
      </c>
      <c r="B37" s="6" t="s">
        <v>23</v>
      </c>
      <c r="C37" s="7">
        <v>24</v>
      </c>
      <c r="D37" s="7">
        <v>24</v>
      </c>
      <c r="E37" s="8">
        <f t="shared" si="5"/>
        <v>100</v>
      </c>
      <c r="F37" s="2"/>
      <c r="G37" s="3">
        <v>13</v>
      </c>
      <c r="H37" s="6" t="s">
        <v>23</v>
      </c>
      <c r="I37" s="7">
        <v>27</v>
      </c>
      <c r="J37" s="7">
        <v>27</v>
      </c>
      <c r="K37" s="8">
        <f t="shared" si="6"/>
        <v>100</v>
      </c>
      <c r="L37" s="1"/>
      <c r="M37" s="3">
        <v>13</v>
      </c>
      <c r="N37" s="6" t="s">
        <v>23</v>
      </c>
      <c r="O37" s="7">
        <v>24</v>
      </c>
      <c r="P37" s="7">
        <v>24</v>
      </c>
      <c r="Q37" s="8">
        <f t="shared" si="7"/>
        <v>88.888888888888886</v>
      </c>
      <c r="R37" s="1"/>
      <c r="S37" s="3">
        <v>13</v>
      </c>
      <c r="T37" s="6" t="s">
        <v>23</v>
      </c>
      <c r="U37" s="7">
        <v>24</v>
      </c>
      <c r="V37" s="7">
        <v>24</v>
      </c>
      <c r="W37" s="8">
        <f t="shared" si="8"/>
        <v>88.888888888888886</v>
      </c>
      <c r="X37" s="1"/>
      <c r="Y37" s="3">
        <v>13</v>
      </c>
      <c r="Z37" s="6" t="s">
        <v>23</v>
      </c>
      <c r="AA37" s="7">
        <v>24</v>
      </c>
      <c r="AB37" s="7">
        <v>24</v>
      </c>
      <c r="AC37" s="8">
        <f t="shared" si="9"/>
        <v>88.888888888888886</v>
      </c>
      <c r="AD37" s="1"/>
      <c r="AE37" s="1"/>
      <c r="AF37" s="1"/>
      <c r="AG37" s="1"/>
    </row>
    <row r="38" spans="1:33" ht="28.8" customHeight="1" x14ac:dyDescent="0.35">
      <c r="A38" s="3">
        <v>14</v>
      </c>
      <c r="B38" s="6" t="s">
        <v>24</v>
      </c>
      <c r="C38" s="7">
        <v>24</v>
      </c>
      <c r="D38" s="7">
        <v>24</v>
      </c>
      <c r="E38" s="8">
        <f t="shared" si="5"/>
        <v>100</v>
      </c>
      <c r="F38" s="2"/>
      <c r="G38" s="3">
        <v>14</v>
      </c>
      <c r="H38" s="6" t="s">
        <v>24</v>
      </c>
      <c r="I38" s="7">
        <v>27</v>
      </c>
      <c r="J38" s="7">
        <v>27</v>
      </c>
      <c r="K38" s="8">
        <f t="shared" si="6"/>
        <v>100</v>
      </c>
      <c r="L38" s="1"/>
      <c r="M38" s="3">
        <v>14</v>
      </c>
      <c r="N38" s="6" t="s">
        <v>24</v>
      </c>
      <c r="O38" s="7">
        <v>24</v>
      </c>
      <c r="P38" s="7">
        <v>24</v>
      </c>
      <c r="Q38" s="8">
        <f t="shared" si="7"/>
        <v>88.888888888888886</v>
      </c>
      <c r="R38" s="1"/>
      <c r="S38" s="3">
        <v>14</v>
      </c>
      <c r="T38" s="6" t="s">
        <v>24</v>
      </c>
      <c r="U38" s="7">
        <v>24</v>
      </c>
      <c r="V38" s="7">
        <v>24</v>
      </c>
      <c r="W38" s="8">
        <f t="shared" si="8"/>
        <v>88.888888888888886</v>
      </c>
      <c r="X38" s="1"/>
      <c r="Y38" s="3">
        <v>14</v>
      </c>
      <c r="Z38" s="6" t="s">
        <v>24</v>
      </c>
      <c r="AA38" s="7">
        <v>24</v>
      </c>
      <c r="AB38" s="7">
        <v>24</v>
      </c>
      <c r="AC38" s="8">
        <f t="shared" si="9"/>
        <v>88.888888888888886</v>
      </c>
      <c r="AD38" s="1"/>
      <c r="AE38" s="1"/>
      <c r="AF38" s="1"/>
      <c r="AG38" s="1"/>
    </row>
    <row r="39" spans="1:33" ht="28.8" customHeight="1" x14ac:dyDescent="0.35">
      <c r="A39" s="3">
        <v>15</v>
      </c>
      <c r="B39" s="6" t="s">
        <v>25</v>
      </c>
      <c r="C39" s="7">
        <v>24</v>
      </c>
      <c r="D39" s="7">
        <v>24</v>
      </c>
      <c r="E39" s="8">
        <f t="shared" si="5"/>
        <v>100</v>
      </c>
      <c r="F39" s="2"/>
      <c r="G39" s="3">
        <v>15</v>
      </c>
      <c r="H39" s="6" t="s">
        <v>25</v>
      </c>
      <c r="I39" s="7">
        <v>27</v>
      </c>
      <c r="J39" s="7">
        <v>27</v>
      </c>
      <c r="K39" s="8">
        <f t="shared" si="6"/>
        <v>100</v>
      </c>
      <c r="L39" s="1"/>
      <c r="M39" s="3">
        <v>15</v>
      </c>
      <c r="N39" s="6" t="s">
        <v>25</v>
      </c>
      <c r="O39" s="7">
        <v>24</v>
      </c>
      <c r="P39" s="7">
        <v>24</v>
      </c>
      <c r="Q39" s="8">
        <f t="shared" si="7"/>
        <v>88.888888888888886</v>
      </c>
      <c r="R39" s="1"/>
      <c r="S39" s="3">
        <v>15</v>
      </c>
      <c r="T39" s="6" t="s">
        <v>25</v>
      </c>
      <c r="U39" s="7">
        <v>24</v>
      </c>
      <c r="V39" s="7">
        <v>24</v>
      </c>
      <c r="W39" s="8">
        <f t="shared" si="8"/>
        <v>88.888888888888886</v>
      </c>
      <c r="X39" s="1"/>
      <c r="Y39" s="3">
        <v>15</v>
      </c>
      <c r="Z39" s="6" t="s">
        <v>25</v>
      </c>
      <c r="AA39" s="7">
        <v>24</v>
      </c>
      <c r="AB39" s="7">
        <v>24</v>
      </c>
      <c r="AC39" s="8">
        <f t="shared" si="9"/>
        <v>88.888888888888886</v>
      </c>
      <c r="AD39" s="1"/>
      <c r="AE39" s="1"/>
      <c r="AF39" s="1"/>
      <c r="AG39" s="1"/>
    </row>
    <row r="40" spans="1:33" ht="28.8" customHeight="1" x14ac:dyDescent="0.35">
      <c r="A40" s="3">
        <v>16</v>
      </c>
      <c r="B40" s="6" t="s">
        <v>26</v>
      </c>
      <c r="C40" s="7">
        <v>24</v>
      </c>
      <c r="D40" s="7">
        <v>24</v>
      </c>
      <c r="E40" s="8">
        <f t="shared" si="5"/>
        <v>100</v>
      </c>
      <c r="F40" s="2"/>
      <c r="G40" s="3">
        <v>16</v>
      </c>
      <c r="H40" s="6" t="s">
        <v>26</v>
      </c>
      <c r="I40" s="7">
        <v>27</v>
      </c>
      <c r="J40" s="7">
        <v>27</v>
      </c>
      <c r="K40" s="8">
        <f t="shared" si="6"/>
        <v>100</v>
      </c>
      <c r="L40" s="1"/>
      <c r="M40" s="3">
        <v>16</v>
      </c>
      <c r="N40" s="6" t="s">
        <v>26</v>
      </c>
      <c r="O40" s="7">
        <v>24</v>
      </c>
      <c r="P40" s="7">
        <v>24</v>
      </c>
      <c r="Q40" s="8">
        <f t="shared" si="7"/>
        <v>88.888888888888886</v>
      </c>
      <c r="R40" s="1"/>
      <c r="S40" s="3">
        <v>16</v>
      </c>
      <c r="T40" s="6" t="s">
        <v>26</v>
      </c>
      <c r="U40" s="7">
        <v>24</v>
      </c>
      <c r="V40" s="7">
        <v>24</v>
      </c>
      <c r="W40" s="8">
        <f t="shared" si="8"/>
        <v>88.888888888888886</v>
      </c>
      <c r="X40" s="1"/>
      <c r="Y40" s="3">
        <v>16</v>
      </c>
      <c r="Z40" s="6" t="s">
        <v>26</v>
      </c>
      <c r="AA40" s="7">
        <v>24</v>
      </c>
      <c r="AB40" s="7">
        <v>24</v>
      </c>
      <c r="AC40" s="8">
        <f t="shared" si="9"/>
        <v>88.888888888888886</v>
      </c>
      <c r="AD40" s="1"/>
      <c r="AE40" s="1"/>
      <c r="AF40" s="1"/>
      <c r="AG40" s="1"/>
    </row>
    <row r="41" spans="1:33" ht="28.8" customHeight="1" x14ac:dyDescent="0.35">
      <c r="A41" s="3">
        <v>17</v>
      </c>
      <c r="B41" s="9" t="s">
        <v>27</v>
      </c>
      <c r="C41" s="7">
        <v>24</v>
      </c>
      <c r="D41" s="7">
        <v>24</v>
      </c>
      <c r="E41" s="8">
        <f t="shared" si="5"/>
        <v>100</v>
      </c>
      <c r="F41" s="2"/>
      <c r="G41" s="3">
        <v>17</v>
      </c>
      <c r="H41" s="9" t="s">
        <v>27</v>
      </c>
      <c r="I41" s="7">
        <v>27</v>
      </c>
      <c r="J41" s="7">
        <v>27</v>
      </c>
      <c r="K41" s="8">
        <f t="shared" si="6"/>
        <v>100</v>
      </c>
      <c r="L41" s="1"/>
      <c r="M41" s="3">
        <v>17</v>
      </c>
      <c r="N41" s="9" t="s">
        <v>27</v>
      </c>
      <c r="O41" s="7">
        <v>24</v>
      </c>
      <c r="P41" s="7">
        <v>24</v>
      </c>
      <c r="Q41" s="8">
        <f t="shared" si="7"/>
        <v>88.888888888888886</v>
      </c>
      <c r="R41" s="1"/>
      <c r="S41" s="3">
        <v>17</v>
      </c>
      <c r="T41" s="9" t="s">
        <v>27</v>
      </c>
      <c r="U41" s="7">
        <v>24</v>
      </c>
      <c r="V41" s="7">
        <v>24</v>
      </c>
      <c r="W41" s="8">
        <f t="shared" si="8"/>
        <v>88.888888888888886</v>
      </c>
      <c r="X41" s="1"/>
      <c r="Y41" s="3">
        <v>17</v>
      </c>
      <c r="Z41" s="9" t="s">
        <v>27</v>
      </c>
      <c r="AA41" s="7">
        <v>24</v>
      </c>
      <c r="AB41" s="7">
        <v>24</v>
      </c>
      <c r="AC41" s="8">
        <f t="shared" si="9"/>
        <v>88.888888888888886</v>
      </c>
      <c r="AD41" s="1"/>
      <c r="AE41" s="1"/>
      <c r="AF41" s="1"/>
      <c r="AG41" s="1"/>
    </row>
    <row r="42" spans="1:33" ht="28.8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28.8" customHeight="1" x14ac:dyDescent="0.3">
      <c r="A43" s="23"/>
      <c r="B43" s="24"/>
      <c r="C43" s="30" t="s">
        <v>33</v>
      </c>
      <c r="D43" s="30"/>
      <c r="E43" s="30"/>
      <c r="F43" s="1"/>
      <c r="G43" s="23"/>
      <c r="H43" s="24"/>
      <c r="I43" s="30" t="s">
        <v>34</v>
      </c>
      <c r="J43" s="30"/>
      <c r="K43" s="30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28.8" customHeight="1" x14ac:dyDescent="0.3">
      <c r="A44" s="3" t="s">
        <v>6</v>
      </c>
      <c r="B44" s="4" t="s">
        <v>7</v>
      </c>
      <c r="C44" s="5" t="s">
        <v>8</v>
      </c>
      <c r="D44" s="5" t="s">
        <v>9</v>
      </c>
      <c r="E44" s="5" t="s">
        <v>10</v>
      </c>
      <c r="F44" s="1"/>
      <c r="G44" s="3" t="s">
        <v>6</v>
      </c>
      <c r="H44" s="4" t="s">
        <v>7</v>
      </c>
      <c r="I44" s="5" t="s">
        <v>8</v>
      </c>
      <c r="J44" s="5" t="s">
        <v>9</v>
      </c>
      <c r="K44" s="5" t="s">
        <v>10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28.8" customHeight="1" x14ac:dyDescent="0.3">
      <c r="A45" s="3">
        <v>1</v>
      </c>
      <c r="B45" s="6" t="s">
        <v>11</v>
      </c>
      <c r="C45" s="7">
        <v>22</v>
      </c>
      <c r="D45" s="7">
        <v>22</v>
      </c>
      <c r="E45" s="8">
        <f>D45*100/22</f>
        <v>100</v>
      </c>
      <c r="F45" s="1"/>
      <c r="G45" s="3">
        <v>1</v>
      </c>
      <c r="H45" s="6" t="s">
        <v>11</v>
      </c>
      <c r="I45" s="7">
        <v>22</v>
      </c>
      <c r="J45" s="7">
        <v>23</v>
      </c>
      <c r="K45" s="8">
        <f>J45*100/22</f>
        <v>104.54545454545455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28.8" customHeight="1" x14ac:dyDescent="0.3">
      <c r="A46" s="3">
        <v>2</v>
      </c>
      <c r="B46" s="6" t="s">
        <v>12</v>
      </c>
      <c r="C46" s="7">
        <v>22</v>
      </c>
      <c r="D46" s="5">
        <v>22</v>
      </c>
      <c r="E46" s="8">
        <f t="shared" ref="E46:E61" si="10">D46*100/22</f>
        <v>100</v>
      </c>
      <c r="F46" s="1"/>
      <c r="G46" s="3">
        <v>2</v>
      </c>
      <c r="H46" s="6" t="s">
        <v>12</v>
      </c>
      <c r="I46" s="7">
        <v>22</v>
      </c>
      <c r="J46" s="5">
        <v>23</v>
      </c>
      <c r="K46" s="8">
        <f t="shared" ref="K46:K61" si="11">J46*100/22</f>
        <v>104.54545454545455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28.8" customHeight="1" x14ac:dyDescent="0.3">
      <c r="A47" s="3">
        <v>3</v>
      </c>
      <c r="B47" s="6" t="s">
        <v>13</v>
      </c>
      <c r="C47" s="7">
        <v>22</v>
      </c>
      <c r="D47" s="7">
        <v>22</v>
      </c>
      <c r="E47" s="8">
        <f t="shared" si="10"/>
        <v>100</v>
      </c>
      <c r="F47" s="1"/>
      <c r="G47" s="3">
        <v>3</v>
      </c>
      <c r="H47" s="6" t="s">
        <v>13</v>
      </c>
      <c r="I47" s="7">
        <v>22</v>
      </c>
      <c r="J47" s="7">
        <v>21</v>
      </c>
      <c r="K47" s="8">
        <f t="shared" si="11"/>
        <v>95.454545454545453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28.8" customHeight="1" x14ac:dyDescent="0.3">
      <c r="A48" s="3">
        <v>4</v>
      </c>
      <c r="B48" s="6" t="s">
        <v>14</v>
      </c>
      <c r="C48" s="7">
        <v>22</v>
      </c>
      <c r="D48" s="7">
        <v>22</v>
      </c>
      <c r="E48" s="8">
        <f t="shared" si="10"/>
        <v>100</v>
      </c>
      <c r="F48" s="1"/>
      <c r="G48" s="3">
        <v>4</v>
      </c>
      <c r="H48" s="6" t="s">
        <v>14</v>
      </c>
      <c r="I48" s="7">
        <v>22</v>
      </c>
      <c r="J48" s="7">
        <v>19</v>
      </c>
      <c r="K48" s="8">
        <f t="shared" si="11"/>
        <v>86.36363636363636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28.8" customHeight="1" x14ac:dyDescent="0.3">
      <c r="A49" s="3">
        <v>5</v>
      </c>
      <c r="B49" s="6" t="s">
        <v>15</v>
      </c>
      <c r="C49" s="7">
        <v>22</v>
      </c>
      <c r="D49" s="7">
        <v>20</v>
      </c>
      <c r="E49" s="8">
        <f t="shared" si="10"/>
        <v>90.909090909090907</v>
      </c>
      <c r="F49" s="1"/>
      <c r="G49" s="3">
        <v>5</v>
      </c>
      <c r="H49" s="6" t="s">
        <v>15</v>
      </c>
      <c r="I49" s="7">
        <v>22</v>
      </c>
      <c r="J49" s="7">
        <v>21</v>
      </c>
      <c r="K49" s="8">
        <f t="shared" si="11"/>
        <v>95.454545454545453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28.8" customHeight="1" x14ac:dyDescent="0.3">
      <c r="A50" s="3">
        <v>6</v>
      </c>
      <c r="B50" s="6" t="s">
        <v>16</v>
      </c>
      <c r="C50" s="7">
        <v>22</v>
      </c>
      <c r="D50" s="7">
        <v>22</v>
      </c>
      <c r="E50" s="8">
        <f t="shared" si="10"/>
        <v>100</v>
      </c>
      <c r="F50" s="1"/>
      <c r="G50" s="3">
        <v>6</v>
      </c>
      <c r="H50" s="6" t="s">
        <v>16</v>
      </c>
      <c r="I50" s="7">
        <v>22</v>
      </c>
      <c r="J50" s="7">
        <v>18</v>
      </c>
      <c r="K50" s="8">
        <f t="shared" si="11"/>
        <v>81.818181818181813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28.8" customHeight="1" x14ac:dyDescent="0.3">
      <c r="A51" s="3">
        <v>7</v>
      </c>
      <c r="B51" s="6" t="s">
        <v>17</v>
      </c>
      <c r="C51" s="7">
        <v>22</v>
      </c>
      <c r="D51" s="7">
        <v>22</v>
      </c>
      <c r="E51" s="8">
        <f t="shared" si="10"/>
        <v>100</v>
      </c>
      <c r="F51" s="1"/>
      <c r="G51" s="3">
        <v>7</v>
      </c>
      <c r="H51" s="6" t="s">
        <v>17</v>
      </c>
      <c r="I51" s="7">
        <v>22</v>
      </c>
      <c r="J51" s="7">
        <v>19</v>
      </c>
      <c r="K51" s="8">
        <f>J51*100/22</f>
        <v>86.36363636363636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28.8" customHeight="1" x14ac:dyDescent="0.3">
      <c r="A52" s="3">
        <v>8</v>
      </c>
      <c r="B52" s="6" t="s">
        <v>18</v>
      </c>
      <c r="C52" s="7">
        <v>22</v>
      </c>
      <c r="D52" s="7">
        <v>22</v>
      </c>
      <c r="E52" s="8">
        <f t="shared" si="10"/>
        <v>100</v>
      </c>
      <c r="F52" s="1"/>
      <c r="G52" s="3">
        <v>8</v>
      </c>
      <c r="H52" s="6" t="s">
        <v>18</v>
      </c>
      <c r="I52" s="7">
        <v>22</v>
      </c>
      <c r="J52" s="7">
        <v>22</v>
      </c>
      <c r="K52" s="8">
        <f t="shared" ref="K52:K61" si="12">J52*100/22</f>
        <v>100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28.8" customHeight="1" x14ac:dyDescent="0.3">
      <c r="A53" s="3">
        <v>9</v>
      </c>
      <c r="B53" s="6" t="s">
        <v>19</v>
      </c>
      <c r="C53" s="7">
        <v>22</v>
      </c>
      <c r="D53" s="7">
        <v>22</v>
      </c>
      <c r="E53" s="8">
        <f t="shared" si="10"/>
        <v>100</v>
      </c>
      <c r="F53" s="1"/>
      <c r="G53" s="3">
        <v>9</v>
      </c>
      <c r="H53" s="6" t="s">
        <v>19</v>
      </c>
      <c r="I53" s="7">
        <v>22</v>
      </c>
      <c r="J53" s="7">
        <v>22</v>
      </c>
      <c r="K53" s="8">
        <f t="shared" si="12"/>
        <v>100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28.8" customHeight="1" x14ac:dyDescent="0.3">
      <c r="A54" s="3">
        <v>10</v>
      </c>
      <c r="B54" s="6" t="s">
        <v>20</v>
      </c>
      <c r="C54" s="7">
        <v>22</v>
      </c>
      <c r="D54" s="7">
        <v>22</v>
      </c>
      <c r="E54" s="8">
        <f t="shared" si="10"/>
        <v>100</v>
      </c>
      <c r="F54" s="1"/>
      <c r="G54" s="3">
        <v>10</v>
      </c>
      <c r="H54" s="6" t="s">
        <v>20</v>
      </c>
      <c r="I54" s="7">
        <v>22</v>
      </c>
      <c r="J54" s="7">
        <v>22</v>
      </c>
      <c r="K54" s="8">
        <f t="shared" si="12"/>
        <v>100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28.8" customHeight="1" x14ac:dyDescent="0.3">
      <c r="A55" s="3">
        <v>11</v>
      </c>
      <c r="B55" s="6" t="s">
        <v>21</v>
      </c>
      <c r="C55" s="7">
        <v>22</v>
      </c>
      <c r="D55" s="7">
        <v>21</v>
      </c>
      <c r="E55" s="8">
        <f t="shared" si="10"/>
        <v>95.454545454545453</v>
      </c>
      <c r="F55" s="1"/>
      <c r="G55" s="3">
        <v>11</v>
      </c>
      <c r="H55" s="6" t="s">
        <v>21</v>
      </c>
      <c r="I55" s="7">
        <v>22</v>
      </c>
      <c r="J55" s="7">
        <v>22</v>
      </c>
      <c r="K55" s="8">
        <f t="shared" si="12"/>
        <v>100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28.8" customHeight="1" x14ac:dyDescent="0.3">
      <c r="A56" s="3">
        <v>12</v>
      </c>
      <c r="B56" s="6" t="s">
        <v>22</v>
      </c>
      <c r="C56" s="7">
        <v>22</v>
      </c>
      <c r="D56" s="7">
        <v>22</v>
      </c>
      <c r="E56" s="8">
        <f t="shared" si="10"/>
        <v>100</v>
      </c>
      <c r="F56" s="1"/>
      <c r="G56" s="3">
        <v>12</v>
      </c>
      <c r="H56" s="6" t="s">
        <v>22</v>
      </c>
      <c r="I56" s="7">
        <v>22</v>
      </c>
      <c r="J56" s="7">
        <v>22</v>
      </c>
      <c r="K56" s="8">
        <f t="shared" si="12"/>
        <v>100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28.8" customHeight="1" x14ac:dyDescent="0.3">
      <c r="A57" s="3">
        <v>13</v>
      </c>
      <c r="B57" s="6" t="s">
        <v>23</v>
      </c>
      <c r="C57" s="7">
        <v>22</v>
      </c>
      <c r="D57" s="7">
        <v>22</v>
      </c>
      <c r="E57" s="8">
        <f t="shared" si="10"/>
        <v>100</v>
      </c>
      <c r="F57" s="1"/>
      <c r="G57" s="3">
        <v>13</v>
      </c>
      <c r="H57" s="6" t="s">
        <v>23</v>
      </c>
      <c r="I57" s="7">
        <v>22</v>
      </c>
      <c r="J57" s="7">
        <v>22</v>
      </c>
      <c r="K57" s="8">
        <f t="shared" si="12"/>
        <v>100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28.8" customHeight="1" x14ac:dyDescent="0.3">
      <c r="A58" s="3">
        <v>14</v>
      </c>
      <c r="B58" s="6" t="s">
        <v>24</v>
      </c>
      <c r="C58" s="7">
        <v>22</v>
      </c>
      <c r="D58" s="7">
        <v>22</v>
      </c>
      <c r="E58" s="8">
        <f t="shared" si="10"/>
        <v>100</v>
      </c>
      <c r="F58" s="1"/>
      <c r="G58" s="3">
        <v>14</v>
      </c>
      <c r="H58" s="6" t="s">
        <v>24</v>
      </c>
      <c r="I58" s="7">
        <v>22</v>
      </c>
      <c r="J58" s="7">
        <v>22</v>
      </c>
      <c r="K58" s="8">
        <f t="shared" si="12"/>
        <v>100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28.8" customHeight="1" x14ac:dyDescent="0.3">
      <c r="A59" s="3">
        <v>15</v>
      </c>
      <c r="B59" s="6" t="s">
        <v>25</v>
      </c>
      <c r="C59" s="7">
        <v>22</v>
      </c>
      <c r="D59" s="7">
        <v>22</v>
      </c>
      <c r="E59" s="8">
        <f t="shared" si="10"/>
        <v>100</v>
      </c>
      <c r="F59" s="1"/>
      <c r="G59" s="3">
        <v>15</v>
      </c>
      <c r="H59" s="6" t="s">
        <v>25</v>
      </c>
      <c r="I59" s="7">
        <v>22</v>
      </c>
      <c r="J59" s="7">
        <v>22</v>
      </c>
      <c r="K59" s="8">
        <f t="shared" si="12"/>
        <v>100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28.8" customHeight="1" x14ac:dyDescent="0.3">
      <c r="A60" s="3">
        <v>16</v>
      </c>
      <c r="B60" s="6" t="s">
        <v>26</v>
      </c>
      <c r="C60" s="7">
        <v>22</v>
      </c>
      <c r="D60" s="7">
        <v>22</v>
      </c>
      <c r="E60" s="8">
        <f t="shared" si="10"/>
        <v>100</v>
      </c>
      <c r="F60" s="1"/>
      <c r="G60" s="3">
        <v>16</v>
      </c>
      <c r="H60" s="6" t="s">
        <v>26</v>
      </c>
      <c r="I60" s="7">
        <v>22</v>
      </c>
      <c r="J60" s="7">
        <v>22</v>
      </c>
      <c r="K60" s="8">
        <f t="shared" si="12"/>
        <v>100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28.8" customHeight="1" x14ac:dyDescent="0.3">
      <c r="A61" s="3">
        <v>17</v>
      </c>
      <c r="B61" s="9" t="s">
        <v>27</v>
      </c>
      <c r="C61" s="7">
        <v>22</v>
      </c>
      <c r="D61" s="7">
        <v>22</v>
      </c>
      <c r="E61" s="8">
        <f t="shared" si="10"/>
        <v>100</v>
      </c>
      <c r="F61" s="1"/>
      <c r="G61" s="3">
        <v>17</v>
      </c>
      <c r="H61" s="9" t="s">
        <v>27</v>
      </c>
      <c r="I61" s="7">
        <v>22</v>
      </c>
      <c r="J61" s="7">
        <v>22</v>
      </c>
      <c r="K61" s="8">
        <f t="shared" si="12"/>
        <v>100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28.8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28.8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28.8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28.8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28.8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28.8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28.8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28.8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28.8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28.8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28.8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28.8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28.8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28.8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28.8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28.8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28.8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28.8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28.8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28.8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</sheetData>
  <mergeCells count="24">
    <mergeCell ref="M3:N3"/>
    <mergeCell ref="O3:Q3"/>
    <mergeCell ref="S3:T3"/>
    <mergeCell ref="U3:W3"/>
    <mergeCell ref="A43:B43"/>
    <mergeCell ref="C43:E43"/>
    <mergeCell ref="G43:H43"/>
    <mergeCell ref="I43:K43"/>
    <mergeCell ref="Y23:Z23"/>
    <mergeCell ref="AA23:AC23"/>
    <mergeCell ref="A1:W1"/>
    <mergeCell ref="A2:W2"/>
    <mergeCell ref="A23:B23"/>
    <mergeCell ref="C23:E23"/>
    <mergeCell ref="G23:H23"/>
    <mergeCell ref="I23:K23"/>
    <mergeCell ref="M23:N23"/>
    <mergeCell ref="O23:Q23"/>
    <mergeCell ref="S23:T23"/>
    <mergeCell ref="U23:W23"/>
    <mergeCell ref="A3:B3"/>
    <mergeCell ref="C3:E3"/>
    <mergeCell ref="G3:H3"/>
    <mergeCell ref="I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 Sachan</dc:creator>
  <cp:lastModifiedBy>Divyanshu Sachan</cp:lastModifiedBy>
  <dcterms:created xsi:type="dcterms:W3CDTF">2026-06-01T13:03:48Z</dcterms:created>
  <dcterms:modified xsi:type="dcterms:W3CDTF">2026-06-01T13:16:42Z</dcterms:modified>
</cp:coreProperties>
</file>