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96" windowWidth="22992" windowHeight="9792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tudent " sheetId="6" r:id="rId6"/>
    <sheet name="July2025" sheetId="7" r:id="rId7"/>
    <sheet name="Sheet7" sheetId="8" r:id="rId8"/>
    <sheet name="August 2025" sheetId="9" r:id="rId9"/>
    <sheet name="Sheet6" sheetId="10" r:id="rId10"/>
    <sheet name="Sheet8" sheetId="12" r:id="rId11"/>
  </sheets>
  <definedNames>
    <definedName name="_xlnm._FilterDatabase" localSheetId="5" hidden="1">'Student '!$A$1:$AE$64</definedName>
  </definedNames>
  <calcPr calcId="145621"/>
</workbook>
</file>

<file path=xl/calcChain.xml><?xml version="1.0" encoding="utf-8"?>
<calcChain xmlns="http://schemas.openxmlformats.org/spreadsheetml/2006/main">
  <c r="E129" i="12" l="1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AC6" i="6"/>
  <c r="AD6" i="6"/>
  <c r="AC7" i="6"/>
  <c r="AD7" i="6"/>
  <c r="AC8" i="6"/>
  <c r="AD8" i="6"/>
  <c r="AC9" i="6"/>
  <c r="AD9" i="6"/>
  <c r="AC10" i="6"/>
  <c r="AD10" i="6"/>
  <c r="AC11" i="6"/>
  <c r="AD11" i="6"/>
  <c r="AC12" i="6"/>
  <c r="AD12" i="6"/>
  <c r="AC13" i="6"/>
  <c r="AD13" i="6"/>
  <c r="AC14" i="6"/>
  <c r="AD14" i="6"/>
  <c r="AC15" i="6"/>
  <c r="AD15" i="6"/>
  <c r="AC16" i="6"/>
  <c r="AD16" i="6"/>
  <c r="AC17" i="6"/>
  <c r="AD17" i="6"/>
  <c r="AC18" i="6"/>
  <c r="AD18" i="6"/>
  <c r="AC19" i="6"/>
  <c r="AD19" i="6"/>
  <c r="AC20" i="6"/>
  <c r="AD20" i="6"/>
  <c r="AC21" i="6"/>
  <c r="AD21" i="6"/>
  <c r="AC22" i="6"/>
  <c r="AD22" i="6"/>
  <c r="AC23" i="6"/>
  <c r="AD23" i="6"/>
  <c r="AC24" i="6"/>
  <c r="AD24" i="6"/>
  <c r="AC25" i="6"/>
  <c r="AD25" i="6"/>
  <c r="AC26" i="6"/>
  <c r="AD26" i="6"/>
  <c r="AC27" i="6"/>
  <c r="AD27" i="6"/>
  <c r="AC28" i="6"/>
  <c r="AD28" i="6"/>
  <c r="AC29" i="6"/>
  <c r="AD29" i="6"/>
  <c r="AC30" i="6"/>
  <c r="AD30" i="6"/>
  <c r="AC31" i="6"/>
  <c r="AD31" i="6"/>
  <c r="AC32" i="6"/>
  <c r="AD32" i="6"/>
  <c r="AC33" i="6"/>
  <c r="AD33" i="6"/>
  <c r="AC34" i="6"/>
  <c r="AD34" i="6"/>
  <c r="AC35" i="6"/>
  <c r="AD35" i="6"/>
  <c r="AC36" i="6"/>
  <c r="AD36" i="6"/>
  <c r="AC37" i="6"/>
  <c r="AD37" i="6"/>
  <c r="AC38" i="6"/>
  <c r="AD38" i="6"/>
  <c r="AC39" i="6"/>
  <c r="AD39" i="6"/>
  <c r="AC40" i="6"/>
  <c r="AD40" i="6"/>
  <c r="AC41" i="6"/>
  <c r="AD41" i="6"/>
  <c r="AC42" i="6"/>
  <c r="AD42" i="6"/>
  <c r="AC43" i="6"/>
  <c r="AD43" i="6"/>
  <c r="AC44" i="6"/>
  <c r="AD44" i="6"/>
  <c r="AC45" i="6"/>
  <c r="AD45" i="6"/>
  <c r="AC46" i="6"/>
  <c r="AD46" i="6"/>
  <c r="AC47" i="6"/>
  <c r="AD47" i="6"/>
  <c r="AC48" i="6"/>
  <c r="AD48" i="6"/>
  <c r="AC49" i="6"/>
  <c r="AD49" i="6"/>
  <c r="AC50" i="6"/>
  <c r="AD50" i="6"/>
  <c r="AC51" i="6"/>
  <c r="AD51" i="6"/>
  <c r="AC52" i="6"/>
  <c r="AD52" i="6"/>
  <c r="AC53" i="6"/>
  <c r="AD53" i="6"/>
  <c r="AC54" i="6"/>
  <c r="AD54" i="6"/>
  <c r="AC55" i="6"/>
  <c r="AD55" i="6"/>
  <c r="AC56" i="6"/>
  <c r="AD56" i="6"/>
  <c r="AC57" i="6"/>
  <c r="AD57" i="6"/>
  <c r="AC58" i="6"/>
  <c r="AD58" i="6"/>
  <c r="AC59" i="6"/>
  <c r="AD59" i="6"/>
  <c r="AC60" i="6"/>
  <c r="AD60" i="6"/>
  <c r="AC61" i="6"/>
  <c r="AD61" i="6"/>
  <c r="AC62" i="6"/>
  <c r="AD62" i="6"/>
  <c r="AC63" i="6"/>
  <c r="AD63" i="6"/>
  <c r="AC64" i="6"/>
  <c r="AD64" i="6"/>
  <c r="AD5" i="6"/>
  <c r="AC5" i="6"/>
  <c r="E6" i="12" l="1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5" i="12"/>
  <c r="E5" i="2"/>
  <c r="H5" i="2"/>
  <c r="AE6" i="6" l="1"/>
  <c r="AE7" i="6"/>
  <c r="AE8" i="6"/>
  <c r="AE9" i="6"/>
  <c r="AE12" i="6"/>
  <c r="AE14" i="6"/>
  <c r="AE15" i="6"/>
  <c r="AE16" i="6"/>
  <c r="AE17" i="6"/>
  <c r="AE20" i="6"/>
  <c r="AE22" i="6"/>
  <c r="AE23" i="6"/>
  <c r="AE24" i="6"/>
  <c r="AE25" i="6"/>
  <c r="AE30" i="6"/>
  <c r="AE31" i="6"/>
  <c r="AE32" i="6"/>
  <c r="AE33" i="6"/>
  <c r="AE38" i="6"/>
  <c r="AE39" i="6"/>
  <c r="AE40" i="6"/>
  <c r="AE41" i="6"/>
  <c r="AE44" i="6"/>
  <c r="AE46" i="6"/>
  <c r="AE47" i="6"/>
  <c r="AE48" i="6"/>
  <c r="AE49" i="6"/>
  <c r="AE52" i="6"/>
  <c r="AE54" i="6"/>
  <c r="AE55" i="6"/>
  <c r="AE56" i="6"/>
  <c r="AE57" i="6"/>
  <c r="AE60" i="6"/>
  <c r="AE62" i="6"/>
  <c r="AE63" i="6"/>
  <c r="AE64" i="6"/>
  <c r="AE11" i="6"/>
  <c r="AE13" i="6"/>
  <c r="AE19" i="6"/>
  <c r="AE21" i="6"/>
  <c r="AE27" i="6"/>
  <c r="AE28" i="6"/>
  <c r="AE29" i="6"/>
  <c r="AE35" i="6"/>
  <c r="AE36" i="6"/>
  <c r="AE37" i="6"/>
  <c r="AE43" i="6"/>
  <c r="AE45" i="6"/>
  <c r="AE51" i="6"/>
  <c r="AE53" i="6"/>
  <c r="AE59" i="6"/>
  <c r="AE61" i="6"/>
  <c r="AE58" i="6" l="1"/>
  <c r="AE50" i="6"/>
  <c r="AE42" i="6"/>
  <c r="AE34" i="6"/>
  <c r="AE26" i="6"/>
  <c r="AE18" i="6"/>
  <c r="AE10" i="6"/>
  <c r="AE5" i="6"/>
  <c r="E9" i="10" l="1"/>
  <c r="E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7" i="10"/>
  <c r="E6" i="10"/>
  <c r="E5" i="9" l="1"/>
  <c r="E5" i="7"/>
  <c r="E64" i="9" l="1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6" i="7" l="1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K5" i="1" l="1"/>
  <c r="N5" i="1" l="1"/>
  <c r="Q5" i="1"/>
  <c r="T5" i="1"/>
  <c r="W5" i="1"/>
  <c r="Z5" i="1"/>
  <c r="K6" i="1"/>
  <c r="N6" i="1"/>
  <c r="Q6" i="1"/>
  <c r="T6" i="1"/>
  <c r="W6" i="1"/>
  <c r="Z6" i="1"/>
  <c r="K7" i="1"/>
  <c r="N7" i="1"/>
  <c r="Q7" i="1"/>
  <c r="T7" i="1"/>
  <c r="W7" i="1"/>
  <c r="Z7" i="1"/>
  <c r="K8" i="1"/>
  <c r="N8" i="1"/>
  <c r="Q8" i="1"/>
  <c r="T8" i="1"/>
  <c r="W8" i="1"/>
  <c r="Z8" i="1"/>
  <c r="K9" i="1"/>
  <c r="N9" i="1"/>
  <c r="Q9" i="1"/>
  <c r="T9" i="1"/>
  <c r="W9" i="1"/>
  <c r="Z9" i="1"/>
  <c r="K10" i="1"/>
  <c r="N10" i="1"/>
  <c r="Q10" i="1"/>
  <c r="T10" i="1"/>
  <c r="W10" i="1"/>
  <c r="Z10" i="1"/>
  <c r="K11" i="1"/>
  <c r="N11" i="1"/>
  <c r="Q11" i="1"/>
  <c r="T11" i="1"/>
  <c r="W11" i="1"/>
  <c r="Z11" i="1"/>
  <c r="K12" i="1"/>
  <c r="N12" i="1"/>
  <c r="Q12" i="1"/>
  <c r="T12" i="1"/>
  <c r="W12" i="1"/>
  <c r="Z12" i="1"/>
  <c r="K13" i="1"/>
  <c r="N13" i="1"/>
  <c r="Q13" i="1"/>
  <c r="T13" i="1"/>
  <c r="W13" i="1"/>
  <c r="Z13" i="1"/>
  <c r="K14" i="1"/>
  <c r="N14" i="1"/>
  <c r="Q14" i="1"/>
  <c r="T14" i="1"/>
  <c r="W14" i="1"/>
  <c r="Z14" i="1"/>
  <c r="K15" i="1"/>
  <c r="N15" i="1"/>
  <c r="Q15" i="1"/>
  <c r="T15" i="1"/>
  <c r="W15" i="1"/>
  <c r="Z15" i="1"/>
  <c r="K16" i="1"/>
  <c r="N16" i="1"/>
  <c r="Q16" i="1"/>
  <c r="T16" i="1"/>
  <c r="W16" i="1"/>
  <c r="Z16" i="1"/>
  <c r="K17" i="1"/>
  <c r="N17" i="1"/>
  <c r="Q17" i="1"/>
  <c r="T17" i="1"/>
  <c r="W17" i="1"/>
  <c r="Z17" i="1"/>
  <c r="K18" i="1"/>
  <c r="N18" i="1"/>
  <c r="Q18" i="1"/>
  <c r="T18" i="1"/>
  <c r="W18" i="1"/>
  <c r="Z18" i="1"/>
  <c r="K19" i="1"/>
  <c r="N19" i="1"/>
  <c r="Q19" i="1"/>
  <c r="T19" i="1"/>
  <c r="W19" i="1"/>
  <c r="Z19" i="1"/>
  <c r="K20" i="1"/>
  <c r="N20" i="1"/>
  <c r="Q20" i="1"/>
  <c r="T20" i="1"/>
  <c r="W20" i="1"/>
  <c r="Z20" i="1"/>
  <c r="K21" i="1"/>
  <c r="N21" i="1"/>
  <c r="Q21" i="1"/>
  <c r="T21" i="1"/>
  <c r="W21" i="1"/>
  <c r="Z21" i="1"/>
  <c r="K22" i="1"/>
  <c r="N22" i="1"/>
  <c r="Q22" i="1"/>
  <c r="T22" i="1"/>
  <c r="W22" i="1"/>
  <c r="Z22" i="1"/>
  <c r="K23" i="1"/>
  <c r="N23" i="1"/>
  <c r="Q23" i="1"/>
  <c r="T23" i="1"/>
  <c r="W23" i="1"/>
  <c r="Z23" i="1"/>
  <c r="K24" i="1"/>
  <c r="N24" i="1"/>
  <c r="Q24" i="1"/>
  <c r="T24" i="1"/>
  <c r="W24" i="1"/>
  <c r="Z24" i="1"/>
  <c r="K25" i="1"/>
  <c r="N25" i="1"/>
  <c r="Q25" i="1"/>
  <c r="T25" i="1"/>
  <c r="W25" i="1"/>
  <c r="Z25" i="1"/>
  <c r="K26" i="1"/>
  <c r="N26" i="1"/>
  <c r="Q26" i="1"/>
  <c r="T26" i="1"/>
  <c r="W26" i="1"/>
  <c r="Z26" i="1"/>
  <c r="K27" i="1"/>
  <c r="N27" i="1"/>
  <c r="Q27" i="1"/>
  <c r="T27" i="1"/>
  <c r="W27" i="1"/>
  <c r="Z27" i="1"/>
  <c r="K28" i="1"/>
  <c r="N28" i="1"/>
  <c r="Q28" i="1"/>
  <c r="T28" i="1"/>
  <c r="W28" i="1"/>
  <c r="Z28" i="1"/>
  <c r="K29" i="1"/>
  <c r="N29" i="1"/>
  <c r="Q29" i="1"/>
  <c r="T29" i="1"/>
  <c r="W29" i="1"/>
  <c r="Z29" i="1"/>
  <c r="K30" i="1"/>
  <c r="N30" i="1"/>
  <c r="Q30" i="1"/>
  <c r="T30" i="1"/>
  <c r="W30" i="1"/>
  <c r="Z30" i="1"/>
  <c r="K31" i="1"/>
  <c r="N31" i="1"/>
  <c r="Q31" i="1"/>
  <c r="T31" i="1"/>
  <c r="W31" i="1"/>
  <c r="Z31" i="1"/>
  <c r="K32" i="1"/>
  <c r="N32" i="1"/>
  <c r="Q32" i="1"/>
  <c r="T32" i="1"/>
  <c r="W32" i="1"/>
  <c r="Z32" i="1"/>
  <c r="K33" i="1"/>
  <c r="N33" i="1"/>
  <c r="Q33" i="1"/>
  <c r="T33" i="1"/>
  <c r="W33" i="1"/>
  <c r="Z33" i="1"/>
  <c r="K34" i="1"/>
  <c r="N34" i="1"/>
  <c r="Q34" i="1"/>
  <c r="T34" i="1"/>
  <c r="W34" i="1"/>
  <c r="Z34" i="1"/>
  <c r="K35" i="1"/>
  <c r="N35" i="1"/>
  <c r="Q35" i="1"/>
  <c r="T35" i="1"/>
  <c r="W35" i="1"/>
  <c r="Z35" i="1"/>
  <c r="K36" i="1"/>
  <c r="N36" i="1"/>
  <c r="Q36" i="1"/>
  <c r="T36" i="1"/>
  <c r="W36" i="1"/>
  <c r="Z36" i="1"/>
  <c r="K37" i="1"/>
  <c r="N37" i="1"/>
  <c r="Q37" i="1"/>
  <c r="T37" i="1"/>
  <c r="W37" i="1"/>
  <c r="Z37" i="1"/>
  <c r="K38" i="1"/>
  <c r="N38" i="1"/>
  <c r="Q38" i="1"/>
  <c r="T38" i="1"/>
  <c r="W38" i="1"/>
  <c r="Z38" i="1"/>
  <c r="K39" i="1"/>
  <c r="N39" i="1"/>
  <c r="Q39" i="1"/>
  <c r="T39" i="1"/>
  <c r="W39" i="1"/>
  <c r="Z39" i="1"/>
  <c r="K40" i="1"/>
  <c r="N40" i="1"/>
  <c r="Q40" i="1"/>
  <c r="T40" i="1"/>
  <c r="W40" i="1"/>
  <c r="Z40" i="1"/>
  <c r="K41" i="1"/>
  <c r="N41" i="1"/>
  <c r="Q41" i="1"/>
  <c r="T41" i="1"/>
  <c r="W41" i="1"/>
  <c r="Z41" i="1"/>
  <c r="K42" i="1"/>
  <c r="N42" i="1"/>
  <c r="Q42" i="1"/>
  <c r="T42" i="1"/>
  <c r="W42" i="1"/>
  <c r="Z42" i="1"/>
  <c r="K43" i="1"/>
  <c r="N43" i="1"/>
  <c r="Q43" i="1"/>
  <c r="T43" i="1"/>
  <c r="W43" i="1"/>
  <c r="Z43" i="1"/>
  <c r="K44" i="1"/>
  <c r="N44" i="1"/>
  <c r="Q44" i="1"/>
  <c r="T44" i="1"/>
  <c r="W44" i="1"/>
  <c r="Z44" i="1"/>
  <c r="K45" i="1"/>
  <c r="N45" i="1"/>
  <c r="Q45" i="1"/>
  <c r="T45" i="1"/>
  <c r="W45" i="1"/>
  <c r="Z45" i="1"/>
  <c r="K46" i="1"/>
  <c r="N46" i="1"/>
  <c r="Q46" i="1"/>
  <c r="T46" i="1"/>
  <c r="W46" i="1"/>
  <c r="Z46" i="1"/>
  <c r="K47" i="1"/>
  <c r="N47" i="1"/>
  <c r="Q47" i="1"/>
  <c r="T47" i="1"/>
  <c r="W47" i="1"/>
  <c r="Z47" i="1"/>
  <c r="K48" i="1"/>
  <c r="N48" i="1"/>
  <c r="Q48" i="1"/>
  <c r="T48" i="1"/>
  <c r="W48" i="1"/>
  <c r="Z48" i="1"/>
  <c r="K49" i="1"/>
  <c r="N49" i="1"/>
  <c r="Q49" i="1"/>
  <c r="T49" i="1"/>
  <c r="W49" i="1"/>
  <c r="Z49" i="1"/>
  <c r="K50" i="1"/>
  <c r="N50" i="1"/>
  <c r="Q50" i="1"/>
  <c r="T50" i="1"/>
  <c r="W50" i="1"/>
  <c r="Z50" i="1"/>
  <c r="K51" i="1"/>
  <c r="N51" i="1"/>
  <c r="Q51" i="1"/>
  <c r="T51" i="1"/>
  <c r="W51" i="1"/>
  <c r="Z51" i="1"/>
  <c r="K52" i="1"/>
  <c r="N52" i="1"/>
  <c r="Q52" i="1"/>
  <c r="T52" i="1"/>
  <c r="W52" i="1"/>
  <c r="Z52" i="1"/>
  <c r="K53" i="1"/>
  <c r="N53" i="1"/>
  <c r="Q53" i="1"/>
  <c r="T53" i="1"/>
  <c r="W53" i="1"/>
  <c r="Z53" i="1"/>
  <c r="K54" i="1"/>
  <c r="N54" i="1"/>
  <c r="Q54" i="1"/>
  <c r="T54" i="1"/>
  <c r="W54" i="1"/>
  <c r="Z54" i="1"/>
  <c r="K55" i="1"/>
  <c r="N55" i="1"/>
  <c r="Q55" i="1"/>
  <c r="T55" i="1"/>
  <c r="W55" i="1"/>
  <c r="Z55" i="1"/>
  <c r="K56" i="1"/>
  <c r="N56" i="1"/>
  <c r="Q56" i="1"/>
  <c r="T56" i="1"/>
  <c r="W56" i="1"/>
  <c r="Z56" i="1"/>
  <c r="K57" i="1"/>
  <c r="N57" i="1"/>
  <c r="Q57" i="1"/>
  <c r="T57" i="1"/>
  <c r="W57" i="1"/>
  <c r="Z57" i="1"/>
  <c r="K58" i="1"/>
  <c r="N58" i="1"/>
  <c r="Q58" i="1"/>
  <c r="T58" i="1"/>
  <c r="W58" i="1"/>
  <c r="Z58" i="1"/>
  <c r="K59" i="1"/>
  <c r="N59" i="1"/>
  <c r="Q59" i="1"/>
  <c r="T59" i="1"/>
  <c r="W59" i="1"/>
  <c r="Z59" i="1"/>
  <c r="K60" i="1"/>
  <c r="N60" i="1"/>
  <c r="Q60" i="1"/>
  <c r="T60" i="1"/>
  <c r="W60" i="1"/>
  <c r="Z60" i="1"/>
  <c r="K61" i="1"/>
  <c r="N61" i="1"/>
  <c r="Q61" i="1"/>
  <c r="T61" i="1"/>
  <c r="W61" i="1"/>
  <c r="Z61" i="1"/>
  <c r="K62" i="1"/>
  <c r="N62" i="1"/>
  <c r="Q62" i="1"/>
  <c r="T62" i="1"/>
  <c r="W62" i="1"/>
  <c r="Z62" i="1"/>
  <c r="K63" i="1"/>
  <c r="N63" i="1"/>
  <c r="Q63" i="1"/>
  <c r="T63" i="1"/>
  <c r="W63" i="1"/>
  <c r="Z63" i="1"/>
  <c r="K64" i="1"/>
  <c r="N64" i="1"/>
  <c r="Q64" i="1"/>
  <c r="T64" i="1"/>
  <c r="W64" i="1"/>
  <c r="Z64" i="1"/>
  <c r="H64" i="4"/>
  <c r="E64" i="4"/>
  <c r="H63" i="4"/>
  <c r="E63" i="4"/>
  <c r="H62" i="4"/>
  <c r="E62" i="4"/>
  <c r="H61" i="4"/>
  <c r="E61" i="4"/>
  <c r="H60" i="4"/>
  <c r="E60" i="4"/>
  <c r="H59" i="4"/>
  <c r="E59" i="4"/>
  <c r="H58" i="4"/>
  <c r="E58" i="4"/>
  <c r="H57" i="4"/>
  <c r="E57" i="4"/>
  <c r="H56" i="4"/>
  <c r="E56" i="4"/>
  <c r="H55" i="4"/>
  <c r="E55" i="4"/>
  <c r="H54" i="4"/>
  <c r="E54" i="4"/>
  <c r="H53" i="4"/>
  <c r="E53" i="4"/>
  <c r="H52" i="4"/>
  <c r="E52" i="4"/>
  <c r="H51" i="4"/>
  <c r="E51" i="4"/>
  <c r="H50" i="4"/>
  <c r="E50" i="4"/>
  <c r="H49" i="4"/>
  <c r="E49" i="4"/>
  <c r="H48" i="4"/>
  <c r="E48" i="4"/>
  <c r="H47" i="4"/>
  <c r="E47" i="4"/>
  <c r="H46" i="4"/>
  <c r="E46" i="4"/>
  <c r="H45" i="4"/>
  <c r="E45" i="4"/>
  <c r="H44" i="4"/>
  <c r="E44" i="4"/>
  <c r="H43" i="4"/>
  <c r="E43" i="4"/>
  <c r="H42" i="4"/>
  <c r="E42" i="4"/>
  <c r="H41" i="4"/>
  <c r="E41" i="4"/>
  <c r="H40" i="4"/>
  <c r="E40" i="4"/>
  <c r="H39" i="4"/>
  <c r="E39" i="4"/>
  <c r="H38" i="4"/>
  <c r="E38" i="4"/>
  <c r="H37" i="4"/>
  <c r="E37" i="4"/>
  <c r="H36" i="4"/>
  <c r="E36" i="4"/>
  <c r="H35" i="4"/>
  <c r="E35" i="4"/>
  <c r="H34" i="4"/>
  <c r="E34" i="4"/>
  <c r="H33" i="4"/>
  <c r="E33" i="4"/>
  <c r="H32" i="4"/>
  <c r="E32" i="4"/>
  <c r="H31" i="4"/>
  <c r="E31" i="4"/>
  <c r="H30" i="4"/>
  <c r="E30" i="4"/>
  <c r="H29" i="4"/>
  <c r="E29" i="4"/>
  <c r="H28" i="4"/>
  <c r="E28" i="4"/>
  <c r="H27" i="4"/>
  <c r="E27" i="4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H15" i="4"/>
  <c r="E15" i="4"/>
  <c r="H14" i="4"/>
  <c r="E14" i="4"/>
  <c r="H13" i="4"/>
  <c r="E13" i="4"/>
  <c r="H12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H64" i="3"/>
  <c r="E64" i="3"/>
  <c r="H63" i="3"/>
  <c r="E63" i="3"/>
  <c r="H62" i="3"/>
  <c r="E62" i="3"/>
  <c r="H61" i="3"/>
  <c r="E61" i="3"/>
  <c r="H60" i="3"/>
  <c r="E60" i="3"/>
  <c r="H59" i="3"/>
  <c r="E59" i="3"/>
  <c r="H58" i="3"/>
  <c r="E58" i="3"/>
  <c r="H57" i="3"/>
  <c r="E57" i="3"/>
  <c r="H56" i="3"/>
  <c r="E56" i="3"/>
  <c r="H55" i="3"/>
  <c r="E55" i="3"/>
  <c r="H54" i="3"/>
  <c r="E54" i="3"/>
  <c r="H53" i="3"/>
  <c r="E53" i="3"/>
  <c r="H52" i="3"/>
  <c r="E52" i="3"/>
  <c r="H51" i="3"/>
  <c r="E51" i="3"/>
  <c r="H50" i="3"/>
  <c r="E50" i="3"/>
  <c r="H49" i="3"/>
  <c r="E49" i="3"/>
  <c r="H48" i="3"/>
  <c r="E48" i="3"/>
  <c r="H47" i="3"/>
  <c r="E47" i="3"/>
  <c r="H46" i="3"/>
  <c r="E46" i="3"/>
  <c r="H45" i="3"/>
  <c r="E45" i="3"/>
  <c r="H44" i="3"/>
  <c r="E44" i="3"/>
  <c r="H43" i="3"/>
  <c r="E43" i="3"/>
  <c r="H42" i="3"/>
  <c r="E42" i="3"/>
  <c r="H41" i="3"/>
  <c r="E41" i="3"/>
  <c r="H40" i="3"/>
  <c r="E40" i="3"/>
  <c r="H39" i="3"/>
  <c r="E39" i="3"/>
  <c r="H38" i="3"/>
  <c r="E38" i="3"/>
  <c r="H37" i="3"/>
  <c r="E37" i="3"/>
  <c r="H36" i="3"/>
  <c r="E36" i="3"/>
  <c r="H35" i="3"/>
  <c r="E35" i="3"/>
  <c r="H34" i="3"/>
  <c r="E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64" i="2"/>
  <c r="E64" i="2"/>
  <c r="H63" i="2"/>
  <c r="E63" i="2"/>
  <c r="H62" i="2"/>
  <c r="E62" i="2"/>
  <c r="H61" i="2"/>
  <c r="E61" i="2"/>
  <c r="H60" i="2"/>
  <c r="E60" i="2"/>
  <c r="H59" i="2"/>
  <c r="E59" i="2"/>
  <c r="H58" i="2"/>
  <c r="E58" i="2"/>
  <c r="H57" i="2"/>
  <c r="E57" i="2"/>
  <c r="H56" i="2"/>
  <c r="E56" i="2"/>
  <c r="H55" i="2"/>
  <c r="E55" i="2"/>
  <c r="H54" i="2"/>
  <c r="E54" i="2"/>
  <c r="H53" i="2"/>
  <c r="E53" i="2"/>
  <c r="H52" i="2"/>
  <c r="E52" i="2"/>
  <c r="H51" i="2"/>
  <c r="E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39" i="2"/>
  <c r="E39" i="2"/>
  <c r="H38" i="2"/>
  <c r="E38" i="2"/>
  <c r="H37" i="2"/>
  <c r="E37" i="2"/>
  <c r="H36" i="2"/>
  <c r="E36" i="2"/>
  <c r="H35" i="2"/>
  <c r="E35" i="2"/>
  <c r="H34" i="2"/>
  <c r="E34" i="2"/>
  <c r="H33" i="2"/>
  <c r="E33" i="2"/>
  <c r="H32" i="2"/>
  <c r="E32" i="2"/>
  <c r="H31" i="2"/>
  <c r="E31" i="2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H12" i="2"/>
  <c r="E12" i="2"/>
  <c r="H11" i="2"/>
  <c r="E11" i="2"/>
  <c r="H10" i="2"/>
  <c r="E10" i="2"/>
  <c r="H9" i="2"/>
  <c r="E9" i="2"/>
  <c r="H8" i="2"/>
  <c r="E8" i="2"/>
  <c r="H7" i="2"/>
  <c r="E7" i="2"/>
  <c r="H6" i="2"/>
  <c r="E6" i="2"/>
</calcChain>
</file>

<file path=xl/sharedStrings.xml><?xml version="1.0" encoding="utf-8"?>
<sst xmlns="http://schemas.openxmlformats.org/spreadsheetml/2006/main" count="916" uniqueCount="92">
  <si>
    <t>DR. SHAKUNTALKA AYURVEDIC MEDICAL COLLEGE THANA ROAD GAURABADSHAHPUR , JAUNPUR (U.P.)</t>
  </si>
  <si>
    <t>Sr.No</t>
  </si>
  <si>
    <t>Student Name</t>
  </si>
  <si>
    <t>Total Working Day</t>
  </si>
  <si>
    <t>Total Present</t>
  </si>
  <si>
    <t>ADBHUT YADAV</t>
  </si>
  <si>
    <t>ADITI MISHRA</t>
  </si>
  <si>
    <t>AJAY KUMAR YADAV</t>
  </si>
  <si>
    <t>AKASH KUMAR PRAJAPATI</t>
  </si>
  <si>
    <t>AKASH VISHWAKARMA</t>
  </si>
  <si>
    <t>ALISHA AKBAR</t>
  </si>
  <si>
    <t>ALOK KUMAR</t>
  </si>
  <si>
    <t>AMAN SRIVASTAV</t>
  </si>
  <si>
    <t>ANAND KUMAR</t>
  </si>
  <si>
    <t>ANJALI KESHARI</t>
  </si>
  <si>
    <t>ANNPURANA SONKAR</t>
  </si>
  <si>
    <t>ANOJ KUMAR YADAV</t>
  </si>
  <si>
    <t>ANUJ YADAV</t>
  </si>
  <si>
    <t xml:space="preserve">ANUSHKA </t>
  </si>
  <si>
    <t>ANUSHKA YADAV</t>
  </si>
  <si>
    <t>ARPITA MISHRA</t>
  </si>
  <si>
    <t>ASHISH YADAV</t>
  </si>
  <si>
    <t>ASHOK KUMAR YADAV</t>
  </si>
  <si>
    <t>ASTHA MAURYA</t>
  </si>
  <si>
    <t>ASTHA YADAV</t>
  </si>
  <si>
    <t>AYUSH TIWARI</t>
  </si>
  <si>
    <t>CHANDAN YADAV</t>
  </si>
  <si>
    <t>DIKSHA YADUVANSHI</t>
  </si>
  <si>
    <t>DISHANI NISHAD</t>
  </si>
  <si>
    <t>ROSHAN GUPTA</t>
  </si>
  <si>
    <t>HARSHITA CHAUHAN</t>
  </si>
  <si>
    <t>KAUSHAL SINGH</t>
  </si>
  <si>
    <t>KOMAL YADAV</t>
  </si>
  <si>
    <t>LAXMI YADAV</t>
  </si>
  <si>
    <t>MADHU NISHAD</t>
  </si>
  <si>
    <t xml:space="preserve">MARIYAM FATIMA </t>
  </si>
  <si>
    <t>ANAND MISHRA</t>
  </si>
  <si>
    <t>NEERAJ KUMAR</t>
  </si>
  <si>
    <t>PREETI</t>
  </si>
  <si>
    <t>PRIYANSHU YADAV</t>
  </si>
  <si>
    <t>RAHUL MAURYA</t>
  </si>
  <si>
    <t>RAJ KUMAR PATEL</t>
  </si>
  <si>
    <t>RICHA TIWARI</t>
  </si>
  <si>
    <t>RISHI RAJ YADAV</t>
  </si>
  <si>
    <t>RIYA SINGH</t>
  </si>
  <si>
    <t>RIYA YADAV</t>
  </si>
  <si>
    <t>SAPANA RAO</t>
  </si>
  <si>
    <t>SAUMYA MAURYA</t>
  </si>
  <si>
    <t>SAUMYA PANDEY</t>
  </si>
  <si>
    <t>SHALINI BHARTI</t>
  </si>
  <si>
    <t>SHIVAM KASHAYAP</t>
  </si>
  <si>
    <t>SHIVANG SONI</t>
  </si>
  <si>
    <t>SHREYA SINGH</t>
  </si>
  <si>
    <t>SONALI VISHWAKRMA</t>
  </si>
  <si>
    <t>SWECHHA YADAV</t>
  </si>
  <si>
    <t>TWINKLE GUPTA</t>
  </si>
  <si>
    <t>VARSHA SINGH</t>
  </si>
  <si>
    <t>VIKASH KUMAR YADAV</t>
  </si>
  <si>
    <t>VINOD KUMAR YADAV</t>
  </si>
  <si>
    <t>VIVEK YADAV</t>
  </si>
  <si>
    <t>YADAV PRINCE NAGENDRA</t>
  </si>
  <si>
    <t>YADAV SHAKSHI SURESH KUMAR</t>
  </si>
  <si>
    <t>YUVRAJ SINGH</t>
  </si>
  <si>
    <t xml:space="preserve"> BATCH 2024-25 YEAR MONTHLY ATTENDANCE SHEET </t>
  </si>
  <si>
    <t>Nomber 2024</t>
  </si>
  <si>
    <t>01-12-2024</t>
  </si>
  <si>
    <t>01-01-2025</t>
  </si>
  <si>
    <t>PAVAN KUMAR SHARMA</t>
  </si>
  <si>
    <t>01-02-2025</t>
  </si>
  <si>
    <t>01-03-2025</t>
  </si>
  <si>
    <t>01-04-2025</t>
  </si>
  <si>
    <t>APRAJITA SAROJ</t>
  </si>
  <si>
    <t>01-05-2025</t>
  </si>
  <si>
    <t>%</t>
  </si>
  <si>
    <t>01-06-2025</t>
  </si>
  <si>
    <t>01-11-2024</t>
  </si>
  <si>
    <t>T.W.D.</t>
  </si>
  <si>
    <t>T.P.D.</t>
  </si>
  <si>
    <t xml:space="preserve">                                                            01-11-2024</t>
  </si>
  <si>
    <t>01-07-2025</t>
  </si>
  <si>
    <t>AKASH KR PRAJAPATI</t>
  </si>
  <si>
    <t>PAVAN K SHARMA</t>
  </si>
  <si>
    <t>Y SHAKSHI SURESH K</t>
  </si>
  <si>
    <t>Y PRINCE NAGENDRA</t>
  </si>
  <si>
    <t xml:space="preserve">                01-08-2025</t>
  </si>
  <si>
    <t>01-08-2025</t>
  </si>
  <si>
    <t xml:space="preserve">                01-09-2025</t>
  </si>
  <si>
    <t>01-09-2025</t>
  </si>
  <si>
    <t>01-10-2025</t>
  </si>
  <si>
    <t xml:space="preserve">                01-10-2025</t>
  </si>
  <si>
    <t>01-11-2025</t>
  </si>
  <si>
    <t xml:space="preserve">                01-11-2025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</si>
</sst>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/>
    <xf numFmtId="49" fontId="7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/>
    <xf numFmtId="0" fontId="10" fillId="2" borderId="1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5" xfId="0" applyFont="1" applyFill="1" applyBorder="1"/>
    <xf numFmtId="0" fontId="1" fillId="2" borderId="5" xfId="0" applyFont="1" applyFill="1" applyBorder="1"/>
    <xf numFmtId="0" fontId="1" fillId="2" borderId="0" xfId="0" applyFont="1" applyFill="1" applyBorder="1"/>
    <xf numFmtId="49" fontId="7" fillId="0" borderId="5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Border="1"/>
    <xf numFmtId="0" fontId="5" fillId="2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5" fillId="2" borderId="5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5" fillId="0" borderId="0" xfId="0" applyFont="1"/>
    <xf numFmtId="0" fontId="12" fillId="3" borderId="8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0" fillId="2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2" borderId="1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9" fillId="2" borderId="0" xfId="0" applyFont="1" applyFill="1"/>
    <xf numFmtId="0" fontId="18" fillId="2" borderId="0" xfId="0" applyFont="1" applyFill="1" applyBorder="1"/>
    <xf numFmtId="0" fontId="20" fillId="5" borderId="5" xfId="0" applyFont="1" applyFill="1" applyBorder="1"/>
    <xf numFmtId="0" fontId="1" fillId="5" borderId="5" xfId="0" applyFont="1" applyFill="1" applyBorder="1"/>
    <xf numFmtId="0" fontId="1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/>
    </xf>
    <xf numFmtId="49" fontId="18" fillId="2" borderId="10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" fillId="7" borderId="5" xfId="0" applyFont="1" applyFill="1" applyBorder="1"/>
    <xf numFmtId="0" fontId="12" fillId="7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/>
    </xf>
    <xf numFmtId="49" fontId="18" fillId="2" borderId="9" xfId="0" applyNumberFormat="1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49" fontId="18" fillId="2" borderId="10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Views>
    <sheetView zoomScale="70" zoomScaleNormal="70" workbookViewId="0">
      <selection activeCell="N17" sqref="N17"/>
    </sheetView>
  </sheetViews>
  <sheetFormatPr defaultRowHeight="14.4" x14ac:dyDescent="0.3"/>
  <cols>
    <col min="1" max="1" width="7.44140625" bestFit="1" customWidth="1"/>
    <col min="2" max="2" width="33.109375" customWidth="1"/>
    <col min="3" max="3" width="10.44140625" customWidth="1"/>
    <col min="4" max="4" width="9.5546875" customWidth="1"/>
    <col min="5" max="5" width="9.5546875" style="1" customWidth="1"/>
    <col min="7" max="7" width="7.88671875" bestFit="1" customWidth="1"/>
    <col min="8" max="8" width="5.5546875" style="1" bestFit="1" customWidth="1"/>
    <col min="11" max="11" width="17.109375" style="14" bestFit="1" customWidth="1"/>
    <col min="14" max="14" width="17.109375" style="14" bestFit="1" customWidth="1"/>
    <col min="17" max="17" width="17.109375" style="14" bestFit="1" customWidth="1"/>
    <col min="20" max="20" width="17.109375" style="14" bestFit="1" customWidth="1"/>
    <col min="23" max="23" width="8.44140625" style="14" bestFit="1" customWidth="1"/>
    <col min="26" max="26" width="17.109375" style="14" bestFit="1" customWidth="1"/>
  </cols>
  <sheetData>
    <row r="1" spans="1:26" ht="80.25" customHeight="1" x14ac:dyDescent="0.25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8.75" customHeight="1" x14ac:dyDescent="0.25">
      <c r="A2" s="94" t="s">
        <v>63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s="1" customFormat="1" ht="34.5" customHeight="1" x14ac:dyDescent="0.35">
      <c r="A3" s="91" t="s">
        <v>64</v>
      </c>
      <c r="B3" s="92"/>
      <c r="C3" s="92"/>
      <c r="D3" s="93"/>
      <c r="E3" s="98" t="s">
        <v>65</v>
      </c>
      <c r="F3" s="99"/>
      <c r="G3" s="100"/>
      <c r="H3" s="15"/>
      <c r="I3" s="98" t="s">
        <v>66</v>
      </c>
      <c r="J3" s="99"/>
      <c r="K3" s="15"/>
      <c r="L3" s="98" t="s">
        <v>68</v>
      </c>
      <c r="M3" s="99"/>
      <c r="N3" s="100"/>
      <c r="O3" s="98" t="s">
        <v>69</v>
      </c>
      <c r="P3" s="99"/>
      <c r="Q3" s="100"/>
      <c r="R3" s="98" t="s">
        <v>70</v>
      </c>
      <c r="S3" s="99"/>
      <c r="T3" s="100"/>
      <c r="U3" s="98" t="s">
        <v>72</v>
      </c>
      <c r="V3" s="99"/>
      <c r="W3" s="100"/>
      <c r="X3" s="98" t="s">
        <v>74</v>
      </c>
      <c r="Y3" s="99"/>
      <c r="Z3" s="100"/>
    </row>
    <row r="4" spans="1:26" ht="45" x14ac:dyDescent="0.25">
      <c r="A4" s="19" t="s">
        <v>1</v>
      </c>
      <c r="B4" s="4" t="s">
        <v>2</v>
      </c>
      <c r="C4" s="3" t="s">
        <v>3</v>
      </c>
      <c r="D4" s="3" t="s">
        <v>4</v>
      </c>
      <c r="E4" s="3" t="s">
        <v>73</v>
      </c>
      <c r="F4" s="3" t="s">
        <v>3</v>
      </c>
      <c r="G4" s="3" t="s">
        <v>4</v>
      </c>
      <c r="H4" s="3" t="s">
        <v>73</v>
      </c>
      <c r="I4" s="3" t="s">
        <v>3</v>
      </c>
      <c r="J4" s="3" t="s">
        <v>4</v>
      </c>
      <c r="K4" s="3" t="s">
        <v>73</v>
      </c>
      <c r="L4" s="3" t="s">
        <v>3</v>
      </c>
      <c r="M4" s="3" t="s">
        <v>4</v>
      </c>
      <c r="N4" s="3" t="s">
        <v>73</v>
      </c>
      <c r="O4" s="3" t="s">
        <v>3</v>
      </c>
      <c r="P4" s="3" t="s">
        <v>4</v>
      </c>
      <c r="Q4" s="3" t="s">
        <v>73</v>
      </c>
      <c r="R4" s="3" t="s">
        <v>3</v>
      </c>
      <c r="S4" s="3" t="s">
        <v>4</v>
      </c>
      <c r="T4" s="3" t="s">
        <v>73</v>
      </c>
      <c r="U4" s="13" t="s">
        <v>3</v>
      </c>
      <c r="V4" s="13" t="s">
        <v>4</v>
      </c>
      <c r="W4" s="3" t="s">
        <v>73</v>
      </c>
      <c r="X4" s="13" t="s">
        <v>3</v>
      </c>
      <c r="Y4" s="3" t="s">
        <v>4</v>
      </c>
      <c r="Z4" s="3" t="s">
        <v>73</v>
      </c>
    </row>
    <row r="5" spans="1:26" ht="18.75" x14ac:dyDescent="0.25">
      <c r="A5" s="10">
        <v>1</v>
      </c>
      <c r="B5" s="11" t="s">
        <v>5</v>
      </c>
      <c r="C5" s="12">
        <v>17</v>
      </c>
      <c r="D5" s="12">
        <v>17</v>
      </c>
      <c r="E5" s="12">
        <v>100</v>
      </c>
      <c r="F5" s="12">
        <v>23</v>
      </c>
      <c r="G5" s="12">
        <v>23</v>
      </c>
      <c r="H5" s="12">
        <v>100</v>
      </c>
      <c r="I5" s="12">
        <v>26</v>
      </c>
      <c r="J5" s="12">
        <v>25</v>
      </c>
      <c r="K5" s="16" t="b">
        <f>Sheet5!E5=J5:J64*100/I5</f>
        <v>0</v>
      </c>
      <c r="L5" s="12">
        <v>22</v>
      </c>
      <c r="M5" s="12">
        <v>20</v>
      </c>
      <c r="N5" s="16">
        <f>M5:M64*100/22</f>
        <v>90.909090909090907</v>
      </c>
      <c r="O5" s="12">
        <v>22</v>
      </c>
      <c r="P5" s="12">
        <v>20</v>
      </c>
      <c r="Q5" s="16">
        <f>P5:P64*100/22</f>
        <v>90.909090909090907</v>
      </c>
      <c r="R5" s="12">
        <v>24</v>
      </c>
      <c r="S5" s="12">
        <v>22</v>
      </c>
      <c r="T5" s="16">
        <f>S5:S64*100/24</f>
        <v>91.666666666666671</v>
      </c>
      <c r="U5" s="12">
        <v>16</v>
      </c>
      <c r="V5" s="12">
        <v>13</v>
      </c>
      <c r="W5" s="17">
        <f>V5:V64*100/16</f>
        <v>81.25</v>
      </c>
      <c r="X5" s="12">
        <v>17</v>
      </c>
      <c r="Y5" s="12">
        <v>7</v>
      </c>
      <c r="Z5" s="17">
        <f>Y5:Y64*100/17</f>
        <v>41.176470588235297</v>
      </c>
    </row>
    <row r="6" spans="1:26" ht="18.75" x14ac:dyDescent="0.25">
      <c r="A6" s="2">
        <v>2</v>
      </c>
      <c r="B6" s="7" t="s">
        <v>6</v>
      </c>
      <c r="C6" s="12">
        <v>17</v>
      </c>
      <c r="D6" s="12">
        <v>17</v>
      </c>
      <c r="E6" s="12">
        <v>100</v>
      </c>
      <c r="F6" s="12">
        <v>23</v>
      </c>
      <c r="G6" s="12">
        <v>23</v>
      </c>
      <c r="H6" s="12">
        <v>100</v>
      </c>
      <c r="I6" s="12">
        <v>26</v>
      </c>
      <c r="J6" s="12">
        <v>26</v>
      </c>
      <c r="K6" s="16">
        <f t="shared" ref="K6:K64" si="0">J6:J65*100/I6</f>
        <v>100</v>
      </c>
      <c r="L6" s="12">
        <v>22</v>
      </c>
      <c r="M6" s="12">
        <v>20</v>
      </c>
      <c r="N6" s="16">
        <f t="shared" ref="N6:N64" si="1">M6:M65*100/22</f>
        <v>90.909090909090907</v>
      </c>
      <c r="O6" s="12">
        <v>22</v>
      </c>
      <c r="P6" s="12">
        <v>20</v>
      </c>
      <c r="Q6" s="16">
        <f t="shared" ref="Q6:Q64" si="2">P6:P65*100/22</f>
        <v>90.909090909090907</v>
      </c>
      <c r="R6" s="12">
        <v>24</v>
      </c>
      <c r="S6" s="12">
        <v>19</v>
      </c>
      <c r="T6" s="16">
        <f t="shared" ref="T6:T64" si="3">S6:S65*100/24</f>
        <v>79.166666666666671</v>
      </c>
      <c r="U6" s="12">
        <v>16</v>
      </c>
      <c r="V6" s="12">
        <v>13</v>
      </c>
      <c r="W6" s="17">
        <f t="shared" ref="W6:W64" si="4">V6:V65*100/16</f>
        <v>81.25</v>
      </c>
      <c r="X6" s="12">
        <v>17</v>
      </c>
      <c r="Y6" s="6">
        <v>13</v>
      </c>
      <c r="Z6" s="17">
        <f t="shared" ref="Z6:Z64" si="5">Y6:Y65*100/17</f>
        <v>76.470588235294116</v>
      </c>
    </row>
    <row r="7" spans="1:26" ht="18.75" x14ac:dyDescent="0.25">
      <c r="A7" s="2">
        <v>3</v>
      </c>
      <c r="B7" s="7" t="s">
        <v>7</v>
      </c>
      <c r="C7" s="12">
        <v>17</v>
      </c>
      <c r="D7" s="12">
        <v>17</v>
      </c>
      <c r="E7" s="12">
        <v>100</v>
      </c>
      <c r="F7" s="12">
        <v>23</v>
      </c>
      <c r="G7" s="12">
        <v>23</v>
      </c>
      <c r="H7" s="12">
        <v>100</v>
      </c>
      <c r="I7" s="12">
        <v>26</v>
      </c>
      <c r="J7" s="12">
        <v>26</v>
      </c>
      <c r="K7" s="16">
        <f t="shared" si="0"/>
        <v>100</v>
      </c>
      <c r="L7" s="12">
        <v>22</v>
      </c>
      <c r="M7" s="12">
        <v>15</v>
      </c>
      <c r="N7" s="16">
        <f t="shared" si="1"/>
        <v>68.181818181818187</v>
      </c>
      <c r="O7" s="12">
        <v>22</v>
      </c>
      <c r="P7" s="12">
        <v>19</v>
      </c>
      <c r="Q7" s="16">
        <f t="shared" si="2"/>
        <v>86.36363636363636</v>
      </c>
      <c r="R7" s="12">
        <v>24</v>
      </c>
      <c r="S7" s="12">
        <v>18</v>
      </c>
      <c r="T7" s="16">
        <f t="shared" si="3"/>
        <v>75</v>
      </c>
      <c r="U7" s="12">
        <v>16</v>
      </c>
      <c r="V7" s="12">
        <v>9</v>
      </c>
      <c r="W7" s="17">
        <f t="shared" si="4"/>
        <v>56.25</v>
      </c>
      <c r="X7" s="12">
        <v>17</v>
      </c>
      <c r="Y7" s="5">
        <v>12</v>
      </c>
      <c r="Z7" s="17">
        <f t="shared" si="5"/>
        <v>70.588235294117652</v>
      </c>
    </row>
    <row r="8" spans="1:26" ht="18.75" x14ac:dyDescent="0.25">
      <c r="A8" s="2">
        <v>4</v>
      </c>
      <c r="B8" s="7" t="s">
        <v>8</v>
      </c>
      <c r="C8" s="12">
        <v>17</v>
      </c>
      <c r="D8" s="12">
        <v>17</v>
      </c>
      <c r="E8" s="12">
        <v>100</v>
      </c>
      <c r="F8" s="12">
        <v>23</v>
      </c>
      <c r="G8" s="12">
        <v>23</v>
      </c>
      <c r="H8" s="12">
        <v>100</v>
      </c>
      <c r="I8" s="12">
        <v>26</v>
      </c>
      <c r="J8" s="12">
        <v>23</v>
      </c>
      <c r="K8" s="16">
        <f>J8:J67*100/I8</f>
        <v>88.461538461538467</v>
      </c>
      <c r="L8" s="12">
        <v>22</v>
      </c>
      <c r="M8" s="12">
        <v>19</v>
      </c>
      <c r="N8" s="16">
        <f t="shared" si="1"/>
        <v>86.36363636363636</v>
      </c>
      <c r="O8" s="12">
        <v>22</v>
      </c>
      <c r="P8" s="12">
        <v>14</v>
      </c>
      <c r="Q8" s="16">
        <f t="shared" si="2"/>
        <v>63.636363636363633</v>
      </c>
      <c r="R8" s="12">
        <v>24</v>
      </c>
      <c r="S8" s="12">
        <v>16</v>
      </c>
      <c r="T8" s="16">
        <f t="shared" si="3"/>
        <v>66.666666666666671</v>
      </c>
      <c r="U8" s="12">
        <v>16</v>
      </c>
      <c r="V8" s="12">
        <v>12</v>
      </c>
      <c r="W8" s="17">
        <f t="shared" si="4"/>
        <v>75</v>
      </c>
      <c r="X8" s="12">
        <v>17</v>
      </c>
      <c r="Y8" s="6">
        <v>11</v>
      </c>
      <c r="Z8" s="17">
        <f t="shared" si="5"/>
        <v>64.705882352941174</v>
      </c>
    </row>
    <row r="9" spans="1:26" ht="18.75" x14ac:dyDescent="0.25">
      <c r="A9" s="2">
        <v>5</v>
      </c>
      <c r="B9" s="7" t="s">
        <v>9</v>
      </c>
      <c r="C9" s="12">
        <v>17</v>
      </c>
      <c r="D9" s="12">
        <v>17</v>
      </c>
      <c r="E9" s="12">
        <v>100</v>
      </c>
      <c r="F9" s="12">
        <v>23</v>
      </c>
      <c r="G9" s="12">
        <v>23</v>
      </c>
      <c r="H9" s="12">
        <v>100</v>
      </c>
      <c r="I9" s="12">
        <v>26</v>
      </c>
      <c r="J9" s="12">
        <v>23</v>
      </c>
      <c r="K9" s="16">
        <f t="shared" si="0"/>
        <v>88.461538461538467</v>
      </c>
      <c r="L9" s="12">
        <v>22</v>
      </c>
      <c r="M9" s="12">
        <v>15</v>
      </c>
      <c r="N9" s="16">
        <f t="shared" si="1"/>
        <v>68.181818181818187</v>
      </c>
      <c r="O9" s="12">
        <v>22</v>
      </c>
      <c r="P9" s="12">
        <v>15</v>
      </c>
      <c r="Q9" s="16">
        <f t="shared" si="2"/>
        <v>68.181818181818187</v>
      </c>
      <c r="R9" s="12">
        <v>24</v>
      </c>
      <c r="S9" s="12">
        <v>10</v>
      </c>
      <c r="T9" s="16">
        <f t="shared" si="3"/>
        <v>41.666666666666664</v>
      </c>
      <c r="U9" s="12">
        <v>16</v>
      </c>
      <c r="V9" s="12">
        <v>12</v>
      </c>
      <c r="W9" s="17">
        <f t="shared" si="4"/>
        <v>75</v>
      </c>
      <c r="X9" s="12">
        <v>17</v>
      </c>
      <c r="Y9" s="5">
        <v>4</v>
      </c>
      <c r="Z9" s="17">
        <f t="shared" si="5"/>
        <v>23.529411764705884</v>
      </c>
    </row>
    <row r="10" spans="1:26" ht="18.75" x14ac:dyDescent="0.25">
      <c r="A10" s="2">
        <v>6</v>
      </c>
      <c r="B10" s="7" t="s">
        <v>10</v>
      </c>
      <c r="C10" s="12">
        <v>17</v>
      </c>
      <c r="D10" s="12">
        <v>17</v>
      </c>
      <c r="E10" s="12">
        <v>100</v>
      </c>
      <c r="F10" s="12">
        <v>23</v>
      </c>
      <c r="G10" s="12">
        <v>23</v>
      </c>
      <c r="H10" s="12">
        <v>100</v>
      </c>
      <c r="I10" s="12">
        <v>26</v>
      </c>
      <c r="J10" s="12">
        <v>24</v>
      </c>
      <c r="K10" s="16">
        <f t="shared" si="0"/>
        <v>92.307692307692307</v>
      </c>
      <c r="L10" s="12">
        <v>22</v>
      </c>
      <c r="M10" s="12">
        <v>13</v>
      </c>
      <c r="N10" s="16">
        <f t="shared" si="1"/>
        <v>59.090909090909093</v>
      </c>
      <c r="O10" s="12">
        <v>22</v>
      </c>
      <c r="P10" s="12">
        <v>12</v>
      </c>
      <c r="Q10" s="16">
        <f t="shared" si="2"/>
        <v>54.545454545454547</v>
      </c>
      <c r="R10" s="12">
        <v>24</v>
      </c>
      <c r="S10" s="12">
        <v>8</v>
      </c>
      <c r="T10" s="16">
        <f t="shared" si="3"/>
        <v>33.333333333333336</v>
      </c>
      <c r="U10" s="12">
        <v>16</v>
      </c>
      <c r="V10" s="12">
        <v>11</v>
      </c>
      <c r="W10" s="17">
        <f t="shared" si="4"/>
        <v>68.75</v>
      </c>
      <c r="X10" s="12">
        <v>17</v>
      </c>
      <c r="Y10" s="6">
        <v>3</v>
      </c>
      <c r="Z10" s="17">
        <f t="shared" si="5"/>
        <v>17.647058823529413</v>
      </c>
    </row>
    <row r="11" spans="1:26" ht="18.75" x14ac:dyDescent="0.25">
      <c r="A11" s="2">
        <v>7</v>
      </c>
      <c r="B11" s="7" t="s">
        <v>11</v>
      </c>
      <c r="C11" s="12">
        <v>17</v>
      </c>
      <c r="D11" s="12">
        <v>17</v>
      </c>
      <c r="E11" s="12">
        <v>100</v>
      </c>
      <c r="F11" s="12">
        <v>23</v>
      </c>
      <c r="G11" s="12">
        <v>23</v>
      </c>
      <c r="H11" s="12">
        <v>100</v>
      </c>
      <c r="I11" s="12">
        <v>26</v>
      </c>
      <c r="J11" s="12">
        <v>23</v>
      </c>
      <c r="K11" s="16">
        <f t="shared" si="0"/>
        <v>88.461538461538467</v>
      </c>
      <c r="L11" s="12">
        <v>22</v>
      </c>
      <c r="M11" s="12">
        <v>17</v>
      </c>
      <c r="N11" s="16">
        <f t="shared" si="1"/>
        <v>77.272727272727266</v>
      </c>
      <c r="O11" s="12">
        <v>22</v>
      </c>
      <c r="P11" s="12">
        <v>20</v>
      </c>
      <c r="Q11" s="16">
        <f t="shared" si="2"/>
        <v>90.909090909090907</v>
      </c>
      <c r="R11" s="12">
        <v>24</v>
      </c>
      <c r="S11" s="12">
        <v>18</v>
      </c>
      <c r="T11" s="16">
        <f t="shared" si="3"/>
        <v>75</v>
      </c>
      <c r="U11" s="12">
        <v>16</v>
      </c>
      <c r="V11" s="12">
        <v>10</v>
      </c>
      <c r="W11" s="17">
        <f t="shared" si="4"/>
        <v>62.5</v>
      </c>
      <c r="X11" s="12">
        <v>17</v>
      </c>
      <c r="Y11" s="5">
        <v>10</v>
      </c>
      <c r="Z11" s="17">
        <f t="shared" si="5"/>
        <v>58.823529411764703</v>
      </c>
    </row>
    <row r="12" spans="1:26" ht="18.75" x14ac:dyDescent="0.25">
      <c r="A12" s="2">
        <v>8</v>
      </c>
      <c r="B12" s="7" t="s">
        <v>12</v>
      </c>
      <c r="C12" s="12">
        <v>17</v>
      </c>
      <c r="D12" s="12">
        <v>17</v>
      </c>
      <c r="E12" s="12">
        <v>100</v>
      </c>
      <c r="F12" s="12">
        <v>23</v>
      </c>
      <c r="G12" s="12">
        <v>23</v>
      </c>
      <c r="H12" s="12">
        <v>100</v>
      </c>
      <c r="I12" s="12">
        <v>26</v>
      </c>
      <c r="J12" s="12">
        <v>17</v>
      </c>
      <c r="K12" s="16">
        <f>J12:J71*100/I12</f>
        <v>65.384615384615387</v>
      </c>
      <c r="L12" s="12">
        <v>22</v>
      </c>
      <c r="M12" s="12">
        <v>11</v>
      </c>
      <c r="N12" s="16">
        <f t="shared" si="1"/>
        <v>50</v>
      </c>
      <c r="O12" s="12">
        <v>22</v>
      </c>
      <c r="P12" s="12">
        <v>14</v>
      </c>
      <c r="Q12" s="16">
        <f t="shared" si="2"/>
        <v>63.636363636363633</v>
      </c>
      <c r="R12" s="12">
        <v>24</v>
      </c>
      <c r="S12" s="12">
        <v>9</v>
      </c>
      <c r="T12" s="16">
        <f t="shared" si="3"/>
        <v>37.5</v>
      </c>
      <c r="U12" s="12">
        <v>16</v>
      </c>
      <c r="V12" s="12">
        <v>15</v>
      </c>
      <c r="W12" s="17">
        <f t="shared" si="4"/>
        <v>93.75</v>
      </c>
      <c r="X12" s="12">
        <v>17</v>
      </c>
      <c r="Y12" s="6">
        <v>9</v>
      </c>
      <c r="Z12" s="17">
        <f t="shared" si="5"/>
        <v>52.941176470588232</v>
      </c>
    </row>
    <row r="13" spans="1:26" ht="18.75" x14ac:dyDescent="0.25">
      <c r="A13" s="2">
        <v>9</v>
      </c>
      <c r="B13" s="7" t="s">
        <v>13</v>
      </c>
      <c r="C13" s="12">
        <v>17</v>
      </c>
      <c r="D13" s="12">
        <v>17</v>
      </c>
      <c r="E13" s="12">
        <v>100</v>
      </c>
      <c r="F13" s="12">
        <v>23</v>
      </c>
      <c r="G13" s="12">
        <v>23</v>
      </c>
      <c r="H13" s="12">
        <v>100</v>
      </c>
      <c r="I13" s="12">
        <v>26</v>
      </c>
      <c r="J13" s="12">
        <v>25</v>
      </c>
      <c r="K13" s="16">
        <f t="shared" si="0"/>
        <v>96.15384615384616</v>
      </c>
      <c r="L13" s="12">
        <v>22</v>
      </c>
      <c r="M13" s="12">
        <v>22</v>
      </c>
      <c r="N13" s="16">
        <f t="shared" si="1"/>
        <v>100</v>
      </c>
      <c r="O13" s="12">
        <v>22</v>
      </c>
      <c r="P13" s="12">
        <v>20</v>
      </c>
      <c r="Q13" s="16">
        <f t="shared" si="2"/>
        <v>90.909090909090907</v>
      </c>
      <c r="R13" s="12">
        <v>24</v>
      </c>
      <c r="S13" s="12">
        <v>15</v>
      </c>
      <c r="T13" s="16">
        <f t="shared" si="3"/>
        <v>62.5</v>
      </c>
      <c r="U13" s="12">
        <v>16</v>
      </c>
      <c r="V13" s="12">
        <v>11</v>
      </c>
      <c r="W13" s="17">
        <f t="shared" si="4"/>
        <v>68.75</v>
      </c>
      <c r="X13" s="12">
        <v>17</v>
      </c>
      <c r="Y13" s="5">
        <v>13</v>
      </c>
      <c r="Z13" s="17">
        <f t="shared" si="5"/>
        <v>76.470588235294116</v>
      </c>
    </row>
    <row r="14" spans="1:26" ht="18.75" x14ac:dyDescent="0.25">
      <c r="A14" s="2">
        <v>10</v>
      </c>
      <c r="B14" s="7" t="s">
        <v>14</v>
      </c>
      <c r="C14" s="12">
        <v>17</v>
      </c>
      <c r="D14" s="12">
        <v>17</v>
      </c>
      <c r="E14" s="12">
        <v>100</v>
      </c>
      <c r="F14" s="12">
        <v>23</v>
      </c>
      <c r="G14" s="12">
        <v>23</v>
      </c>
      <c r="H14" s="12">
        <v>100</v>
      </c>
      <c r="I14" s="12">
        <v>26</v>
      </c>
      <c r="J14" s="12">
        <v>22</v>
      </c>
      <c r="K14" s="16">
        <f t="shared" si="0"/>
        <v>84.615384615384613</v>
      </c>
      <c r="L14" s="12">
        <v>22</v>
      </c>
      <c r="M14" s="12">
        <v>16</v>
      </c>
      <c r="N14" s="16">
        <f t="shared" si="1"/>
        <v>72.727272727272734</v>
      </c>
      <c r="O14" s="12">
        <v>22</v>
      </c>
      <c r="P14" s="12">
        <v>14</v>
      </c>
      <c r="Q14" s="16">
        <f t="shared" si="2"/>
        <v>63.636363636363633</v>
      </c>
      <c r="R14" s="12">
        <v>24</v>
      </c>
      <c r="S14" s="12">
        <v>12</v>
      </c>
      <c r="T14" s="16">
        <f t="shared" si="3"/>
        <v>50</v>
      </c>
      <c r="U14" s="12">
        <v>16</v>
      </c>
      <c r="V14" s="12">
        <v>9</v>
      </c>
      <c r="W14" s="17">
        <f t="shared" si="4"/>
        <v>56.25</v>
      </c>
      <c r="X14" s="12">
        <v>17</v>
      </c>
      <c r="Y14" s="6">
        <v>9</v>
      </c>
      <c r="Z14" s="17">
        <f t="shared" si="5"/>
        <v>52.941176470588232</v>
      </c>
    </row>
    <row r="15" spans="1:26" ht="18.75" x14ac:dyDescent="0.25">
      <c r="A15" s="2">
        <v>11</v>
      </c>
      <c r="B15" s="7" t="s">
        <v>15</v>
      </c>
      <c r="C15" s="12">
        <v>17</v>
      </c>
      <c r="D15" s="12">
        <v>17</v>
      </c>
      <c r="E15" s="12">
        <v>100</v>
      </c>
      <c r="F15" s="12">
        <v>23</v>
      </c>
      <c r="G15" s="12">
        <v>23</v>
      </c>
      <c r="H15" s="12">
        <v>100</v>
      </c>
      <c r="I15" s="12">
        <v>26</v>
      </c>
      <c r="J15" s="12">
        <v>25</v>
      </c>
      <c r="K15" s="16">
        <f t="shared" si="0"/>
        <v>96.15384615384616</v>
      </c>
      <c r="L15" s="12">
        <v>22</v>
      </c>
      <c r="M15" s="12">
        <v>16</v>
      </c>
      <c r="N15" s="16">
        <f t="shared" si="1"/>
        <v>72.727272727272734</v>
      </c>
      <c r="O15" s="12">
        <v>22</v>
      </c>
      <c r="P15" s="12">
        <v>18</v>
      </c>
      <c r="Q15" s="16">
        <f t="shared" si="2"/>
        <v>81.818181818181813</v>
      </c>
      <c r="R15" s="12">
        <v>24</v>
      </c>
      <c r="S15" s="12">
        <v>14</v>
      </c>
      <c r="T15" s="16">
        <f t="shared" si="3"/>
        <v>58.333333333333336</v>
      </c>
      <c r="U15" s="12">
        <v>16</v>
      </c>
      <c r="V15" s="12">
        <v>13</v>
      </c>
      <c r="W15" s="17">
        <f t="shared" si="4"/>
        <v>81.25</v>
      </c>
      <c r="X15" s="12">
        <v>17</v>
      </c>
      <c r="Y15" s="6">
        <v>13</v>
      </c>
      <c r="Z15" s="17">
        <f t="shared" si="5"/>
        <v>76.470588235294116</v>
      </c>
    </row>
    <row r="16" spans="1:26" ht="18.75" x14ac:dyDescent="0.25">
      <c r="A16" s="2">
        <v>12</v>
      </c>
      <c r="B16" s="7" t="s">
        <v>16</v>
      </c>
      <c r="C16" s="12">
        <v>17</v>
      </c>
      <c r="D16" s="12">
        <v>17</v>
      </c>
      <c r="E16" s="12">
        <v>100</v>
      </c>
      <c r="F16" s="12">
        <v>23</v>
      </c>
      <c r="G16" s="12">
        <v>23</v>
      </c>
      <c r="H16" s="12">
        <v>100</v>
      </c>
      <c r="I16" s="12">
        <v>26</v>
      </c>
      <c r="J16" s="12">
        <v>23</v>
      </c>
      <c r="K16" s="16">
        <f t="shared" si="0"/>
        <v>88.461538461538467</v>
      </c>
      <c r="L16" s="12">
        <v>22</v>
      </c>
      <c r="M16" s="12">
        <v>14</v>
      </c>
      <c r="N16" s="16">
        <f t="shared" si="1"/>
        <v>63.636363636363633</v>
      </c>
      <c r="O16" s="12">
        <v>22</v>
      </c>
      <c r="P16" s="12">
        <v>14</v>
      </c>
      <c r="Q16" s="16">
        <f t="shared" si="2"/>
        <v>63.636363636363633</v>
      </c>
      <c r="R16" s="12">
        <v>24</v>
      </c>
      <c r="S16" s="12">
        <v>9</v>
      </c>
      <c r="T16" s="16">
        <f t="shared" si="3"/>
        <v>37.5</v>
      </c>
      <c r="U16" s="12">
        <v>16</v>
      </c>
      <c r="V16" s="12">
        <v>9</v>
      </c>
      <c r="W16" s="17">
        <f t="shared" si="4"/>
        <v>56.25</v>
      </c>
      <c r="X16" s="12">
        <v>17</v>
      </c>
      <c r="Y16" s="5">
        <v>0</v>
      </c>
      <c r="Z16" s="17">
        <f t="shared" si="5"/>
        <v>0</v>
      </c>
    </row>
    <row r="17" spans="1:26" ht="18.75" x14ac:dyDescent="0.25">
      <c r="A17" s="2">
        <v>13</v>
      </c>
      <c r="B17" s="7" t="s">
        <v>17</v>
      </c>
      <c r="C17" s="12">
        <v>17</v>
      </c>
      <c r="D17" s="12">
        <v>17</v>
      </c>
      <c r="E17" s="12">
        <v>100</v>
      </c>
      <c r="F17" s="12">
        <v>23</v>
      </c>
      <c r="G17" s="12">
        <v>23</v>
      </c>
      <c r="H17" s="12">
        <v>100</v>
      </c>
      <c r="I17" s="12">
        <v>26</v>
      </c>
      <c r="J17" s="12">
        <v>25</v>
      </c>
      <c r="K17" s="16">
        <f t="shared" si="0"/>
        <v>96.15384615384616</v>
      </c>
      <c r="L17" s="12">
        <v>22</v>
      </c>
      <c r="M17" s="12">
        <v>21</v>
      </c>
      <c r="N17" s="16">
        <f t="shared" si="1"/>
        <v>95.454545454545453</v>
      </c>
      <c r="O17" s="12">
        <v>22</v>
      </c>
      <c r="P17" s="12">
        <v>19</v>
      </c>
      <c r="Q17" s="16">
        <f t="shared" si="2"/>
        <v>86.36363636363636</v>
      </c>
      <c r="R17" s="12">
        <v>24</v>
      </c>
      <c r="S17" s="12">
        <v>22</v>
      </c>
      <c r="T17" s="16">
        <f t="shared" si="3"/>
        <v>91.666666666666671</v>
      </c>
      <c r="U17" s="12">
        <v>16</v>
      </c>
      <c r="V17" s="12">
        <v>11</v>
      </c>
      <c r="W17" s="17">
        <f t="shared" si="4"/>
        <v>68.75</v>
      </c>
      <c r="X17" s="12">
        <v>17</v>
      </c>
      <c r="Y17" s="6">
        <v>12</v>
      </c>
      <c r="Z17" s="17">
        <f t="shared" si="5"/>
        <v>70.588235294117652</v>
      </c>
    </row>
    <row r="18" spans="1:26" ht="18.75" x14ac:dyDescent="0.25">
      <c r="A18" s="2">
        <v>14</v>
      </c>
      <c r="B18" s="7" t="s">
        <v>18</v>
      </c>
      <c r="C18" s="12">
        <v>17</v>
      </c>
      <c r="D18" s="12">
        <v>17</v>
      </c>
      <c r="E18" s="12">
        <v>100</v>
      </c>
      <c r="F18" s="12">
        <v>23</v>
      </c>
      <c r="G18" s="12">
        <v>23</v>
      </c>
      <c r="H18" s="12">
        <v>100</v>
      </c>
      <c r="I18" s="12">
        <v>26</v>
      </c>
      <c r="J18" s="12">
        <v>25</v>
      </c>
      <c r="K18" s="16">
        <f t="shared" si="0"/>
        <v>96.15384615384616</v>
      </c>
      <c r="L18" s="12">
        <v>22</v>
      </c>
      <c r="M18" s="12">
        <v>21</v>
      </c>
      <c r="N18" s="16">
        <f t="shared" si="1"/>
        <v>95.454545454545453</v>
      </c>
      <c r="O18" s="12">
        <v>22</v>
      </c>
      <c r="P18" s="12">
        <v>20</v>
      </c>
      <c r="Q18" s="16">
        <f t="shared" si="2"/>
        <v>90.909090909090907</v>
      </c>
      <c r="R18" s="12">
        <v>24</v>
      </c>
      <c r="S18" s="12">
        <v>19</v>
      </c>
      <c r="T18" s="16">
        <f t="shared" si="3"/>
        <v>79.166666666666671</v>
      </c>
      <c r="U18" s="12">
        <v>16</v>
      </c>
      <c r="V18" s="12">
        <v>13</v>
      </c>
      <c r="W18" s="17">
        <f t="shared" si="4"/>
        <v>81.25</v>
      </c>
      <c r="X18" s="12">
        <v>17</v>
      </c>
      <c r="Y18" s="6">
        <v>14</v>
      </c>
      <c r="Z18" s="17">
        <f t="shared" si="5"/>
        <v>82.352941176470594</v>
      </c>
    </row>
    <row r="19" spans="1:26" ht="18.75" x14ac:dyDescent="0.25">
      <c r="A19" s="2">
        <v>15</v>
      </c>
      <c r="B19" s="7" t="s">
        <v>19</v>
      </c>
      <c r="C19" s="12">
        <v>17</v>
      </c>
      <c r="D19" s="12">
        <v>17</v>
      </c>
      <c r="E19" s="12">
        <v>100</v>
      </c>
      <c r="F19" s="12">
        <v>23</v>
      </c>
      <c r="G19" s="12">
        <v>23</v>
      </c>
      <c r="H19" s="12">
        <v>100</v>
      </c>
      <c r="I19" s="12">
        <v>26</v>
      </c>
      <c r="J19" s="12">
        <v>18</v>
      </c>
      <c r="K19" s="16">
        <f t="shared" si="0"/>
        <v>69.230769230769226</v>
      </c>
      <c r="L19" s="12">
        <v>22</v>
      </c>
      <c r="M19" s="12">
        <v>10</v>
      </c>
      <c r="N19" s="16">
        <f t="shared" si="1"/>
        <v>45.454545454545453</v>
      </c>
      <c r="O19" s="12">
        <v>22</v>
      </c>
      <c r="P19" s="12">
        <v>14</v>
      </c>
      <c r="Q19" s="16">
        <f t="shared" si="2"/>
        <v>63.636363636363633</v>
      </c>
      <c r="R19" s="12">
        <v>24</v>
      </c>
      <c r="S19" s="12">
        <v>3</v>
      </c>
      <c r="T19" s="16">
        <f t="shared" si="3"/>
        <v>12.5</v>
      </c>
      <c r="U19" s="12">
        <v>16</v>
      </c>
      <c r="V19" s="12">
        <v>11</v>
      </c>
      <c r="W19" s="17">
        <f t="shared" si="4"/>
        <v>68.75</v>
      </c>
      <c r="X19" s="12">
        <v>17</v>
      </c>
      <c r="Y19" s="5">
        <v>9</v>
      </c>
      <c r="Z19" s="17">
        <f t="shared" si="5"/>
        <v>52.941176470588232</v>
      </c>
    </row>
    <row r="20" spans="1:26" ht="18.75" x14ac:dyDescent="0.25">
      <c r="A20" s="2">
        <v>16</v>
      </c>
      <c r="B20" s="7" t="s">
        <v>71</v>
      </c>
      <c r="C20" s="12">
        <v>17</v>
      </c>
      <c r="D20" s="12">
        <v>17</v>
      </c>
      <c r="E20" s="12">
        <v>100</v>
      </c>
      <c r="F20" s="12">
        <v>23</v>
      </c>
      <c r="G20" s="12">
        <v>23</v>
      </c>
      <c r="H20" s="12">
        <v>100</v>
      </c>
      <c r="I20" s="12">
        <v>26</v>
      </c>
      <c r="J20" s="12">
        <v>25</v>
      </c>
      <c r="K20" s="16">
        <f t="shared" si="0"/>
        <v>96.15384615384616</v>
      </c>
      <c r="L20" s="12">
        <v>22</v>
      </c>
      <c r="M20" s="12">
        <v>21</v>
      </c>
      <c r="N20" s="16">
        <f t="shared" si="1"/>
        <v>95.454545454545453</v>
      </c>
      <c r="O20" s="12">
        <v>22</v>
      </c>
      <c r="P20" s="12">
        <v>20</v>
      </c>
      <c r="Q20" s="16">
        <f t="shared" si="2"/>
        <v>90.909090909090907</v>
      </c>
      <c r="R20" s="12">
        <v>24</v>
      </c>
      <c r="S20" s="12">
        <v>16</v>
      </c>
      <c r="T20" s="16">
        <f t="shared" si="3"/>
        <v>66.666666666666671</v>
      </c>
      <c r="U20" s="12">
        <v>16</v>
      </c>
      <c r="V20" s="12">
        <v>8</v>
      </c>
      <c r="W20" s="17">
        <f t="shared" si="4"/>
        <v>50</v>
      </c>
      <c r="X20" s="12">
        <v>17</v>
      </c>
      <c r="Y20" s="6">
        <v>5</v>
      </c>
      <c r="Z20" s="17">
        <f t="shared" si="5"/>
        <v>29.411764705882351</v>
      </c>
    </row>
    <row r="21" spans="1:26" ht="18.75" x14ac:dyDescent="0.25">
      <c r="A21" s="2">
        <v>17</v>
      </c>
      <c r="B21" s="7" t="s">
        <v>20</v>
      </c>
      <c r="C21" s="12">
        <v>17</v>
      </c>
      <c r="D21" s="12">
        <v>17</v>
      </c>
      <c r="E21" s="12">
        <v>100</v>
      </c>
      <c r="F21" s="12">
        <v>23</v>
      </c>
      <c r="G21" s="12">
        <v>23</v>
      </c>
      <c r="H21" s="12">
        <v>100</v>
      </c>
      <c r="I21" s="12">
        <v>26</v>
      </c>
      <c r="J21" s="12">
        <v>26</v>
      </c>
      <c r="K21" s="16">
        <f t="shared" si="0"/>
        <v>100</v>
      </c>
      <c r="L21" s="12">
        <v>22</v>
      </c>
      <c r="M21" s="12">
        <v>22</v>
      </c>
      <c r="N21" s="16">
        <f t="shared" si="1"/>
        <v>100</v>
      </c>
      <c r="O21" s="12">
        <v>22</v>
      </c>
      <c r="P21" s="12">
        <v>19</v>
      </c>
      <c r="Q21" s="16">
        <f t="shared" si="2"/>
        <v>86.36363636363636</v>
      </c>
      <c r="R21" s="12">
        <v>24</v>
      </c>
      <c r="S21" s="12">
        <v>19</v>
      </c>
      <c r="T21" s="16">
        <f t="shared" si="3"/>
        <v>79.166666666666671</v>
      </c>
      <c r="U21" s="12">
        <v>16</v>
      </c>
      <c r="V21" s="12">
        <v>14</v>
      </c>
      <c r="W21" s="17">
        <f t="shared" si="4"/>
        <v>87.5</v>
      </c>
      <c r="X21" s="12">
        <v>17</v>
      </c>
      <c r="Y21" s="5">
        <v>17</v>
      </c>
      <c r="Z21" s="17">
        <f t="shared" si="5"/>
        <v>100</v>
      </c>
    </row>
    <row r="22" spans="1:26" ht="18.75" x14ac:dyDescent="0.25">
      <c r="A22" s="2">
        <v>18</v>
      </c>
      <c r="B22" s="7" t="s">
        <v>21</v>
      </c>
      <c r="C22" s="12">
        <v>17</v>
      </c>
      <c r="D22" s="12">
        <v>17</v>
      </c>
      <c r="E22" s="12">
        <v>100</v>
      </c>
      <c r="F22" s="12">
        <v>23</v>
      </c>
      <c r="G22" s="12">
        <v>23</v>
      </c>
      <c r="H22" s="12">
        <v>100</v>
      </c>
      <c r="I22" s="12">
        <v>26</v>
      </c>
      <c r="J22" s="12">
        <v>24</v>
      </c>
      <c r="K22" s="16">
        <f t="shared" si="0"/>
        <v>92.307692307692307</v>
      </c>
      <c r="L22" s="12">
        <v>22</v>
      </c>
      <c r="M22" s="12">
        <v>22</v>
      </c>
      <c r="N22" s="16">
        <f t="shared" si="1"/>
        <v>100</v>
      </c>
      <c r="O22" s="12">
        <v>22</v>
      </c>
      <c r="P22" s="12">
        <v>19</v>
      </c>
      <c r="Q22" s="16">
        <f t="shared" si="2"/>
        <v>86.36363636363636</v>
      </c>
      <c r="R22" s="12">
        <v>24</v>
      </c>
      <c r="S22" s="12">
        <v>16</v>
      </c>
      <c r="T22" s="16">
        <f t="shared" si="3"/>
        <v>66.666666666666671</v>
      </c>
      <c r="U22" s="12">
        <v>16</v>
      </c>
      <c r="V22" s="12">
        <v>8</v>
      </c>
      <c r="W22" s="17">
        <f t="shared" si="4"/>
        <v>50</v>
      </c>
      <c r="X22" s="12">
        <v>17</v>
      </c>
      <c r="Y22" s="6">
        <v>3</v>
      </c>
      <c r="Z22" s="17">
        <f t="shared" si="5"/>
        <v>17.647058823529413</v>
      </c>
    </row>
    <row r="23" spans="1:26" ht="18.75" x14ac:dyDescent="0.25">
      <c r="A23" s="2">
        <v>19</v>
      </c>
      <c r="B23" s="7" t="s">
        <v>22</v>
      </c>
      <c r="C23" s="12">
        <v>17</v>
      </c>
      <c r="D23" s="12">
        <v>17</v>
      </c>
      <c r="E23" s="12">
        <v>100</v>
      </c>
      <c r="F23" s="12">
        <v>23</v>
      </c>
      <c r="G23" s="12">
        <v>23</v>
      </c>
      <c r="H23" s="12">
        <v>100</v>
      </c>
      <c r="I23" s="12">
        <v>26</v>
      </c>
      <c r="J23" s="12">
        <v>20</v>
      </c>
      <c r="K23" s="16">
        <f t="shared" si="0"/>
        <v>76.92307692307692</v>
      </c>
      <c r="L23" s="12">
        <v>22</v>
      </c>
      <c r="M23" s="12">
        <v>6</v>
      </c>
      <c r="N23" s="16">
        <f t="shared" si="1"/>
        <v>27.272727272727273</v>
      </c>
      <c r="O23" s="12">
        <v>22</v>
      </c>
      <c r="P23" s="12">
        <v>3</v>
      </c>
      <c r="Q23" s="16">
        <f t="shared" si="2"/>
        <v>13.636363636363637</v>
      </c>
      <c r="R23" s="12">
        <v>24</v>
      </c>
      <c r="S23" s="12">
        <v>3</v>
      </c>
      <c r="T23" s="16">
        <f t="shared" si="3"/>
        <v>12.5</v>
      </c>
      <c r="U23" s="12">
        <v>16</v>
      </c>
      <c r="V23" s="12">
        <v>9</v>
      </c>
      <c r="W23" s="17">
        <f t="shared" si="4"/>
        <v>56.25</v>
      </c>
      <c r="X23" s="12">
        <v>17</v>
      </c>
      <c r="Y23" s="5">
        <v>8</v>
      </c>
      <c r="Z23" s="17">
        <f t="shared" si="5"/>
        <v>47.058823529411768</v>
      </c>
    </row>
    <row r="24" spans="1:26" ht="18.75" x14ac:dyDescent="0.25">
      <c r="A24" s="2">
        <v>20</v>
      </c>
      <c r="B24" s="7" t="s">
        <v>23</v>
      </c>
      <c r="C24" s="12">
        <v>17</v>
      </c>
      <c r="D24" s="12">
        <v>17</v>
      </c>
      <c r="E24" s="12">
        <v>100</v>
      </c>
      <c r="F24" s="12">
        <v>23</v>
      </c>
      <c r="G24" s="12">
        <v>23</v>
      </c>
      <c r="H24" s="12">
        <v>100</v>
      </c>
      <c r="I24" s="12">
        <v>26</v>
      </c>
      <c r="J24" s="12">
        <v>25</v>
      </c>
      <c r="K24" s="16">
        <f t="shared" si="0"/>
        <v>96.15384615384616</v>
      </c>
      <c r="L24" s="12">
        <v>22</v>
      </c>
      <c r="M24" s="12">
        <v>17</v>
      </c>
      <c r="N24" s="16">
        <f t="shared" si="1"/>
        <v>77.272727272727266</v>
      </c>
      <c r="O24" s="12">
        <v>22</v>
      </c>
      <c r="P24" s="12">
        <v>19</v>
      </c>
      <c r="Q24" s="16">
        <f t="shared" si="2"/>
        <v>86.36363636363636</v>
      </c>
      <c r="R24" s="12">
        <v>24</v>
      </c>
      <c r="S24" s="12">
        <v>18</v>
      </c>
      <c r="T24" s="16">
        <f t="shared" si="3"/>
        <v>75</v>
      </c>
      <c r="U24" s="12">
        <v>16</v>
      </c>
      <c r="V24" s="12">
        <v>13</v>
      </c>
      <c r="W24" s="17">
        <f t="shared" si="4"/>
        <v>81.25</v>
      </c>
      <c r="X24" s="12">
        <v>17</v>
      </c>
      <c r="Y24" s="6">
        <v>13</v>
      </c>
      <c r="Z24" s="17">
        <f t="shared" si="5"/>
        <v>76.470588235294116</v>
      </c>
    </row>
    <row r="25" spans="1:26" ht="18.75" x14ac:dyDescent="0.25">
      <c r="A25" s="2">
        <v>21</v>
      </c>
      <c r="B25" s="7" t="s">
        <v>24</v>
      </c>
      <c r="C25" s="12">
        <v>17</v>
      </c>
      <c r="D25" s="12">
        <v>17</v>
      </c>
      <c r="E25" s="12">
        <v>100</v>
      </c>
      <c r="F25" s="12">
        <v>23</v>
      </c>
      <c r="G25" s="12">
        <v>23</v>
      </c>
      <c r="H25" s="12">
        <v>100</v>
      </c>
      <c r="I25" s="12">
        <v>26</v>
      </c>
      <c r="J25" s="12">
        <v>26</v>
      </c>
      <c r="K25" s="16">
        <f t="shared" si="0"/>
        <v>100</v>
      </c>
      <c r="L25" s="12">
        <v>22</v>
      </c>
      <c r="M25" s="12">
        <v>21</v>
      </c>
      <c r="N25" s="16">
        <f t="shared" si="1"/>
        <v>95.454545454545453</v>
      </c>
      <c r="O25" s="12">
        <v>22</v>
      </c>
      <c r="P25" s="12">
        <v>21</v>
      </c>
      <c r="Q25" s="16">
        <f t="shared" si="2"/>
        <v>95.454545454545453</v>
      </c>
      <c r="R25" s="12">
        <v>24</v>
      </c>
      <c r="S25" s="12">
        <v>22</v>
      </c>
      <c r="T25" s="16">
        <f t="shared" si="3"/>
        <v>91.666666666666671</v>
      </c>
      <c r="U25" s="12">
        <v>16</v>
      </c>
      <c r="V25" s="12">
        <v>10</v>
      </c>
      <c r="W25" s="17">
        <f t="shared" si="4"/>
        <v>62.5</v>
      </c>
      <c r="X25" s="12">
        <v>17</v>
      </c>
      <c r="Y25" s="5">
        <v>16</v>
      </c>
      <c r="Z25" s="17">
        <f t="shared" si="5"/>
        <v>94.117647058823536</v>
      </c>
    </row>
    <row r="26" spans="1:26" ht="18.75" x14ac:dyDescent="0.25">
      <c r="A26" s="2">
        <v>22</v>
      </c>
      <c r="B26" s="7" t="s">
        <v>25</v>
      </c>
      <c r="C26" s="12">
        <v>17</v>
      </c>
      <c r="D26" s="12">
        <v>17</v>
      </c>
      <c r="E26" s="12">
        <v>100</v>
      </c>
      <c r="F26" s="12">
        <v>23</v>
      </c>
      <c r="G26" s="12">
        <v>23</v>
      </c>
      <c r="H26" s="12">
        <v>100</v>
      </c>
      <c r="I26" s="12">
        <v>26</v>
      </c>
      <c r="J26" s="12">
        <v>24</v>
      </c>
      <c r="K26" s="16">
        <f t="shared" si="0"/>
        <v>92.307692307692307</v>
      </c>
      <c r="L26" s="12">
        <v>22</v>
      </c>
      <c r="M26" s="12">
        <v>21</v>
      </c>
      <c r="N26" s="16">
        <f t="shared" si="1"/>
        <v>95.454545454545453</v>
      </c>
      <c r="O26" s="12">
        <v>22</v>
      </c>
      <c r="P26" s="12">
        <v>17</v>
      </c>
      <c r="Q26" s="16">
        <f t="shared" si="2"/>
        <v>77.272727272727266</v>
      </c>
      <c r="R26" s="12">
        <v>24</v>
      </c>
      <c r="S26" s="12">
        <v>15</v>
      </c>
      <c r="T26" s="16">
        <f t="shared" si="3"/>
        <v>62.5</v>
      </c>
      <c r="U26" s="12">
        <v>16</v>
      </c>
      <c r="V26" s="12">
        <v>13</v>
      </c>
      <c r="W26" s="17">
        <f t="shared" si="4"/>
        <v>81.25</v>
      </c>
      <c r="X26" s="12">
        <v>17</v>
      </c>
      <c r="Y26" s="6">
        <v>14</v>
      </c>
      <c r="Z26" s="17">
        <f t="shared" si="5"/>
        <v>82.352941176470594</v>
      </c>
    </row>
    <row r="27" spans="1:26" ht="18.75" x14ac:dyDescent="0.25">
      <c r="A27" s="2">
        <v>23</v>
      </c>
      <c r="B27" s="7" t="s">
        <v>26</v>
      </c>
      <c r="C27" s="12">
        <v>17</v>
      </c>
      <c r="D27" s="12">
        <v>17</v>
      </c>
      <c r="E27" s="12">
        <v>100</v>
      </c>
      <c r="F27" s="12">
        <v>23</v>
      </c>
      <c r="G27" s="12">
        <v>23</v>
      </c>
      <c r="H27" s="12">
        <v>100</v>
      </c>
      <c r="I27" s="12">
        <v>26</v>
      </c>
      <c r="J27" s="12">
        <v>25</v>
      </c>
      <c r="K27" s="16">
        <f t="shared" si="0"/>
        <v>96.15384615384616</v>
      </c>
      <c r="L27" s="12">
        <v>22</v>
      </c>
      <c r="M27" s="12">
        <v>16</v>
      </c>
      <c r="N27" s="16">
        <f t="shared" si="1"/>
        <v>72.727272727272734</v>
      </c>
      <c r="O27" s="12">
        <v>22</v>
      </c>
      <c r="P27" s="12">
        <v>18</v>
      </c>
      <c r="Q27" s="16">
        <f t="shared" si="2"/>
        <v>81.818181818181813</v>
      </c>
      <c r="R27" s="12">
        <v>24</v>
      </c>
      <c r="S27" s="12">
        <v>18</v>
      </c>
      <c r="T27" s="16">
        <f t="shared" si="3"/>
        <v>75</v>
      </c>
      <c r="U27" s="12">
        <v>16</v>
      </c>
      <c r="V27" s="12">
        <v>9</v>
      </c>
      <c r="W27" s="17">
        <f t="shared" si="4"/>
        <v>56.25</v>
      </c>
      <c r="X27" s="12">
        <v>17</v>
      </c>
      <c r="Y27" s="5">
        <v>12</v>
      </c>
      <c r="Z27" s="17">
        <f t="shared" si="5"/>
        <v>70.588235294117652</v>
      </c>
    </row>
    <row r="28" spans="1:26" ht="18.75" x14ac:dyDescent="0.25">
      <c r="A28" s="2">
        <v>24</v>
      </c>
      <c r="B28" s="7" t="s">
        <v>27</v>
      </c>
      <c r="C28" s="12">
        <v>17</v>
      </c>
      <c r="D28" s="12">
        <v>17</v>
      </c>
      <c r="E28" s="12">
        <v>100</v>
      </c>
      <c r="F28" s="12">
        <v>23</v>
      </c>
      <c r="G28" s="12">
        <v>23</v>
      </c>
      <c r="H28" s="12">
        <v>100</v>
      </c>
      <c r="I28" s="12">
        <v>26</v>
      </c>
      <c r="J28" s="12">
        <v>25</v>
      </c>
      <c r="K28" s="16">
        <f t="shared" si="0"/>
        <v>96.15384615384616</v>
      </c>
      <c r="L28" s="12">
        <v>22</v>
      </c>
      <c r="M28" s="12">
        <v>17</v>
      </c>
      <c r="N28" s="16">
        <f t="shared" si="1"/>
        <v>77.272727272727266</v>
      </c>
      <c r="O28" s="12">
        <v>22</v>
      </c>
      <c r="P28" s="12">
        <v>18</v>
      </c>
      <c r="Q28" s="16">
        <f t="shared" si="2"/>
        <v>81.818181818181813</v>
      </c>
      <c r="R28" s="12">
        <v>24</v>
      </c>
      <c r="S28" s="12">
        <v>18</v>
      </c>
      <c r="T28" s="16">
        <f t="shared" si="3"/>
        <v>75</v>
      </c>
      <c r="U28" s="12">
        <v>16</v>
      </c>
      <c r="V28" s="12">
        <v>10</v>
      </c>
      <c r="W28" s="17">
        <f t="shared" si="4"/>
        <v>62.5</v>
      </c>
      <c r="X28" s="12">
        <v>17</v>
      </c>
      <c r="Y28" s="6">
        <v>10</v>
      </c>
      <c r="Z28" s="17">
        <f t="shared" si="5"/>
        <v>58.823529411764703</v>
      </c>
    </row>
    <row r="29" spans="1:26" ht="18" x14ac:dyDescent="0.3">
      <c r="A29" s="2">
        <v>25</v>
      </c>
      <c r="B29" s="7" t="s">
        <v>28</v>
      </c>
      <c r="C29" s="12">
        <v>17</v>
      </c>
      <c r="D29" s="12">
        <v>17</v>
      </c>
      <c r="E29" s="12">
        <v>100</v>
      </c>
      <c r="F29" s="12">
        <v>23</v>
      </c>
      <c r="G29" s="12">
        <v>23</v>
      </c>
      <c r="H29" s="12">
        <v>100</v>
      </c>
      <c r="I29" s="12">
        <v>26</v>
      </c>
      <c r="J29" s="12">
        <v>24</v>
      </c>
      <c r="K29" s="16">
        <f t="shared" si="0"/>
        <v>92.307692307692307</v>
      </c>
      <c r="L29" s="12">
        <v>22</v>
      </c>
      <c r="M29" s="12">
        <v>14</v>
      </c>
      <c r="N29" s="16">
        <f t="shared" si="1"/>
        <v>63.636363636363633</v>
      </c>
      <c r="O29" s="12">
        <v>22</v>
      </c>
      <c r="P29" s="12">
        <v>20</v>
      </c>
      <c r="Q29" s="16">
        <f t="shared" si="2"/>
        <v>90.909090909090907</v>
      </c>
      <c r="R29" s="12">
        <v>24</v>
      </c>
      <c r="S29" s="12">
        <v>15</v>
      </c>
      <c r="T29" s="16">
        <f t="shared" si="3"/>
        <v>62.5</v>
      </c>
      <c r="U29" s="12">
        <v>16</v>
      </c>
      <c r="V29" s="12">
        <v>11</v>
      </c>
      <c r="W29" s="17">
        <f t="shared" si="4"/>
        <v>68.75</v>
      </c>
      <c r="X29" s="12">
        <v>17</v>
      </c>
      <c r="Y29" s="5">
        <v>10</v>
      </c>
      <c r="Z29" s="17">
        <f t="shared" si="5"/>
        <v>58.823529411764703</v>
      </c>
    </row>
    <row r="30" spans="1:26" ht="18" x14ac:dyDescent="0.3">
      <c r="A30" s="2">
        <v>26</v>
      </c>
      <c r="B30" s="7" t="s">
        <v>29</v>
      </c>
      <c r="C30" s="12">
        <v>17</v>
      </c>
      <c r="D30" s="12">
        <v>17</v>
      </c>
      <c r="E30" s="12">
        <v>100</v>
      </c>
      <c r="F30" s="12">
        <v>23</v>
      </c>
      <c r="G30" s="12">
        <v>23</v>
      </c>
      <c r="H30" s="12">
        <v>100</v>
      </c>
      <c r="I30" s="12">
        <v>26</v>
      </c>
      <c r="J30" s="12">
        <v>26</v>
      </c>
      <c r="K30" s="16">
        <f t="shared" si="0"/>
        <v>100</v>
      </c>
      <c r="L30" s="12">
        <v>22</v>
      </c>
      <c r="M30" s="12">
        <v>22</v>
      </c>
      <c r="N30" s="16">
        <f t="shared" si="1"/>
        <v>100</v>
      </c>
      <c r="O30" s="12">
        <v>22</v>
      </c>
      <c r="P30" s="12">
        <v>13</v>
      </c>
      <c r="Q30" s="16">
        <f t="shared" si="2"/>
        <v>59.090909090909093</v>
      </c>
      <c r="R30" s="12">
        <v>24</v>
      </c>
      <c r="S30" s="12">
        <v>18</v>
      </c>
      <c r="T30" s="16">
        <f t="shared" si="3"/>
        <v>75</v>
      </c>
      <c r="U30" s="12">
        <v>16</v>
      </c>
      <c r="V30" s="12">
        <v>10</v>
      </c>
      <c r="W30" s="17">
        <f t="shared" si="4"/>
        <v>62.5</v>
      </c>
      <c r="X30" s="12">
        <v>17</v>
      </c>
      <c r="Y30" s="6">
        <v>8</v>
      </c>
      <c r="Z30" s="17">
        <f t="shared" si="5"/>
        <v>47.058823529411768</v>
      </c>
    </row>
    <row r="31" spans="1:26" ht="18" x14ac:dyDescent="0.3">
      <c r="A31" s="2">
        <v>27</v>
      </c>
      <c r="B31" s="7" t="s">
        <v>30</v>
      </c>
      <c r="C31" s="12">
        <v>17</v>
      </c>
      <c r="D31" s="12">
        <v>17</v>
      </c>
      <c r="E31" s="12">
        <v>100</v>
      </c>
      <c r="F31" s="12">
        <v>23</v>
      </c>
      <c r="G31" s="12">
        <v>23</v>
      </c>
      <c r="H31" s="12">
        <v>100</v>
      </c>
      <c r="I31" s="12">
        <v>26</v>
      </c>
      <c r="J31" s="12">
        <v>22</v>
      </c>
      <c r="K31" s="16">
        <f t="shared" si="0"/>
        <v>84.615384615384613</v>
      </c>
      <c r="L31" s="12">
        <v>22</v>
      </c>
      <c r="M31" s="12">
        <v>15</v>
      </c>
      <c r="N31" s="16">
        <f t="shared" si="1"/>
        <v>68.181818181818187</v>
      </c>
      <c r="O31" s="12">
        <v>22</v>
      </c>
      <c r="P31" s="12">
        <v>17</v>
      </c>
      <c r="Q31" s="16">
        <f t="shared" si="2"/>
        <v>77.272727272727266</v>
      </c>
      <c r="R31" s="12">
        <v>24</v>
      </c>
      <c r="S31" s="12">
        <v>16</v>
      </c>
      <c r="T31" s="16">
        <f t="shared" si="3"/>
        <v>66.666666666666671</v>
      </c>
      <c r="U31" s="12">
        <v>16</v>
      </c>
      <c r="V31" s="12">
        <v>10</v>
      </c>
      <c r="W31" s="17">
        <f t="shared" si="4"/>
        <v>62.5</v>
      </c>
      <c r="X31" s="12">
        <v>17</v>
      </c>
      <c r="Y31" s="5">
        <v>12</v>
      </c>
      <c r="Z31" s="17">
        <f t="shared" si="5"/>
        <v>70.588235294117652</v>
      </c>
    </row>
    <row r="32" spans="1:26" ht="18" x14ac:dyDescent="0.3">
      <c r="A32" s="2">
        <v>28</v>
      </c>
      <c r="B32" s="7" t="s">
        <v>31</v>
      </c>
      <c r="C32" s="12">
        <v>17</v>
      </c>
      <c r="D32" s="12">
        <v>17</v>
      </c>
      <c r="E32" s="12">
        <v>100</v>
      </c>
      <c r="F32" s="12">
        <v>23</v>
      </c>
      <c r="G32" s="12">
        <v>23</v>
      </c>
      <c r="H32" s="12">
        <v>100</v>
      </c>
      <c r="I32" s="12">
        <v>26</v>
      </c>
      <c r="J32" s="12">
        <v>24</v>
      </c>
      <c r="K32" s="16">
        <f t="shared" si="0"/>
        <v>92.307692307692307</v>
      </c>
      <c r="L32" s="12">
        <v>22</v>
      </c>
      <c r="M32" s="12">
        <v>21</v>
      </c>
      <c r="N32" s="16">
        <f t="shared" si="1"/>
        <v>95.454545454545453</v>
      </c>
      <c r="O32" s="12">
        <v>22</v>
      </c>
      <c r="P32" s="12">
        <v>20</v>
      </c>
      <c r="Q32" s="16">
        <f t="shared" si="2"/>
        <v>90.909090909090907</v>
      </c>
      <c r="R32" s="12">
        <v>24</v>
      </c>
      <c r="S32" s="12">
        <v>18</v>
      </c>
      <c r="T32" s="16">
        <f t="shared" si="3"/>
        <v>75</v>
      </c>
      <c r="U32" s="12">
        <v>16</v>
      </c>
      <c r="V32" s="12">
        <v>14</v>
      </c>
      <c r="W32" s="17">
        <f t="shared" si="4"/>
        <v>87.5</v>
      </c>
      <c r="X32" s="12">
        <v>17</v>
      </c>
      <c r="Y32" s="6">
        <v>10</v>
      </c>
      <c r="Z32" s="17">
        <f t="shared" si="5"/>
        <v>58.823529411764703</v>
      </c>
    </row>
    <row r="33" spans="1:26" ht="18" x14ac:dyDescent="0.3">
      <c r="A33" s="2">
        <v>29</v>
      </c>
      <c r="B33" s="7" t="s">
        <v>32</v>
      </c>
      <c r="C33" s="12">
        <v>17</v>
      </c>
      <c r="D33" s="12">
        <v>17</v>
      </c>
      <c r="E33" s="12">
        <v>100</v>
      </c>
      <c r="F33" s="12">
        <v>23</v>
      </c>
      <c r="G33" s="12">
        <v>23</v>
      </c>
      <c r="H33" s="12">
        <v>100</v>
      </c>
      <c r="I33" s="12">
        <v>26</v>
      </c>
      <c r="J33" s="12">
        <v>26</v>
      </c>
      <c r="K33" s="16">
        <f t="shared" si="0"/>
        <v>100</v>
      </c>
      <c r="L33" s="12">
        <v>22</v>
      </c>
      <c r="M33" s="12">
        <v>22</v>
      </c>
      <c r="N33" s="16">
        <f t="shared" si="1"/>
        <v>100</v>
      </c>
      <c r="O33" s="12">
        <v>22</v>
      </c>
      <c r="P33" s="12">
        <v>20</v>
      </c>
      <c r="Q33" s="16">
        <f t="shared" si="2"/>
        <v>90.909090909090907</v>
      </c>
      <c r="R33" s="12">
        <v>24</v>
      </c>
      <c r="S33" s="12">
        <v>22</v>
      </c>
      <c r="T33" s="16">
        <f t="shared" si="3"/>
        <v>91.666666666666671</v>
      </c>
      <c r="U33" s="12">
        <v>16</v>
      </c>
      <c r="V33" s="12">
        <v>13</v>
      </c>
      <c r="W33" s="17">
        <f t="shared" si="4"/>
        <v>81.25</v>
      </c>
      <c r="X33" s="12">
        <v>17</v>
      </c>
      <c r="Y33" s="5">
        <v>17</v>
      </c>
      <c r="Z33" s="17">
        <f t="shared" si="5"/>
        <v>100</v>
      </c>
    </row>
    <row r="34" spans="1:26" ht="18" x14ac:dyDescent="0.3">
      <c r="A34" s="2">
        <v>30</v>
      </c>
      <c r="B34" s="7" t="s">
        <v>33</v>
      </c>
      <c r="C34" s="12">
        <v>17</v>
      </c>
      <c r="D34" s="12">
        <v>17</v>
      </c>
      <c r="E34" s="12">
        <v>100</v>
      </c>
      <c r="F34" s="12">
        <v>23</v>
      </c>
      <c r="G34" s="12">
        <v>23</v>
      </c>
      <c r="H34" s="12">
        <v>100</v>
      </c>
      <c r="I34" s="12">
        <v>26</v>
      </c>
      <c r="J34" s="12">
        <v>26</v>
      </c>
      <c r="K34" s="16">
        <f t="shared" si="0"/>
        <v>100</v>
      </c>
      <c r="L34" s="12">
        <v>22</v>
      </c>
      <c r="M34" s="12">
        <v>20</v>
      </c>
      <c r="N34" s="16">
        <f t="shared" si="1"/>
        <v>90.909090909090907</v>
      </c>
      <c r="O34" s="12">
        <v>22</v>
      </c>
      <c r="P34" s="12">
        <v>19</v>
      </c>
      <c r="Q34" s="16">
        <f t="shared" si="2"/>
        <v>86.36363636363636</v>
      </c>
      <c r="R34" s="12">
        <v>24</v>
      </c>
      <c r="S34" s="12">
        <v>22</v>
      </c>
      <c r="T34" s="16">
        <f t="shared" si="3"/>
        <v>91.666666666666671</v>
      </c>
      <c r="U34" s="12">
        <v>16</v>
      </c>
      <c r="V34" s="12">
        <v>11</v>
      </c>
      <c r="W34" s="17">
        <f t="shared" si="4"/>
        <v>68.75</v>
      </c>
      <c r="X34" s="12">
        <v>17</v>
      </c>
      <c r="Y34" s="6">
        <v>14</v>
      </c>
      <c r="Z34" s="17">
        <f t="shared" si="5"/>
        <v>82.352941176470594</v>
      </c>
    </row>
    <row r="35" spans="1:26" ht="18" x14ac:dyDescent="0.3">
      <c r="A35" s="2">
        <v>31</v>
      </c>
      <c r="B35" s="7" t="s">
        <v>34</v>
      </c>
      <c r="C35" s="12">
        <v>17</v>
      </c>
      <c r="D35" s="12">
        <v>17</v>
      </c>
      <c r="E35" s="12">
        <v>100</v>
      </c>
      <c r="F35" s="12">
        <v>23</v>
      </c>
      <c r="G35" s="12">
        <v>23</v>
      </c>
      <c r="H35" s="12">
        <v>100</v>
      </c>
      <c r="I35" s="12">
        <v>26</v>
      </c>
      <c r="J35" s="12">
        <v>25</v>
      </c>
      <c r="K35" s="16">
        <f t="shared" si="0"/>
        <v>96.15384615384616</v>
      </c>
      <c r="L35" s="12">
        <v>22</v>
      </c>
      <c r="M35" s="12">
        <v>19</v>
      </c>
      <c r="N35" s="16">
        <f t="shared" si="1"/>
        <v>86.36363636363636</v>
      </c>
      <c r="O35" s="12">
        <v>22</v>
      </c>
      <c r="P35" s="12">
        <v>17</v>
      </c>
      <c r="Q35" s="16">
        <f t="shared" si="2"/>
        <v>77.272727272727266</v>
      </c>
      <c r="R35" s="12">
        <v>24</v>
      </c>
      <c r="S35" s="12">
        <v>16</v>
      </c>
      <c r="T35" s="16">
        <f t="shared" si="3"/>
        <v>66.666666666666671</v>
      </c>
      <c r="U35" s="12">
        <v>16</v>
      </c>
      <c r="V35" s="12">
        <v>12</v>
      </c>
      <c r="W35" s="17">
        <f t="shared" si="4"/>
        <v>75</v>
      </c>
      <c r="X35" s="12">
        <v>17</v>
      </c>
      <c r="Y35" s="5">
        <v>9</v>
      </c>
      <c r="Z35" s="17">
        <f t="shared" si="5"/>
        <v>52.941176470588232</v>
      </c>
    </row>
    <row r="36" spans="1:26" ht="18" x14ac:dyDescent="0.3">
      <c r="A36" s="2">
        <v>32</v>
      </c>
      <c r="B36" s="7" t="s">
        <v>35</v>
      </c>
      <c r="C36" s="12">
        <v>17</v>
      </c>
      <c r="D36" s="12">
        <v>17</v>
      </c>
      <c r="E36" s="12">
        <v>100</v>
      </c>
      <c r="F36" s="12">
        <v>23</v>
      </c>
      <c r="G36" s="12">
        <v>23</v>
      </c>
      <c r="H36" s="12">
        <v>100</v>
      </c>
      <c r="I36" s="12">
        <v>26</v>
      </c>
      <c r="J36" s="12">
        <v>25</v>
      </c>
      <c r="K36" s="16">
        <f t="shared" si="0"/>
        <v>96.15384615384616</v>
      </c>
      <c r="L36" s="12">
        <v>22</v>
      </c>
      <c r="M36" s="12">
        <v>19</v>
      </c>
      <c r="N36" s="16">
        <f t="shared" si="1"/>
        <v>86.36363636363636</v>
      </c>
      <c r="O36" s="12">
        <v>22</v>
      </c>
      <c r="P36" s="12">
        <v>20</v>
      </c>
      <c r="Q36" s="16">
        <f t="shared" si="2"/>
        <v>90.909090909090907</v>
      </c>
      <c r="R36" s="12">
        <v>24</v>
      </c>
      <c r="S36" s="12">
        <v>13</v>
      </c>
      <c r="T36" s="16">
        <f t="shared" si="3"/>
        <v>54.166666666666664</v>
      </c>
      <c r="U36" s="12">
        <v>16</v>
      </c>
      <c r="V36" s="12">
        <v>11</v>
      </c>
      <c r="W36" s="17">
        <f t="shared" si="4"/>
        <v>68.75</v>
      </c>
      <c r="X36" s="12">
        <v>17</v>
      </c>
      <c r="Y36" s="6">
        <v>5</v>
      </c>
      <c r="Z36" s="17">
        <f t="shared" si="5"/>
        <v>29.411764705882351</v>
      </c>
    </row>
    <row r="37" spans="1:26" ht="18" x14ac:dyDescent="0.3">
      <c r="A37" s="2">
        <v>33</v>
      </c>
      <c r="B37" s="7" t="s">
        <v>36</v>
      </c>
      <c r="C37" s="12">
        <v>17</v>
      </c>
      <c r="D37" s="12">
        <v>17</v>
      </c>
      <c r="E37" s="12">
        <v>100</v>
      </c>
      <c r="F37" s="12">
        <v>23</v>
      </c>
      <c r="G37" s="12">
        <v>23</v>
      </c>
      <c r="H37" s="12">
        <v>100</v>
      </c>
      <c r="I37" s="12">
        <v>26</v>
      </c>
      <c r="J37" s="12">
        <v>26</v>
      </c>
      <c r="K37" s="16">
        <f t="shared" si="0"/>
        <v>100</v>
      </c>
      <c r="L37" s="12">
        <v>22</v>
      </c>
      <c r="M37" s="12">
        <v>17</v>
      </c>
      <c r="N37" s="16">
        <f t="shared" si="1"/>
        <v>77.272727272727266</v>
      </c>
      <c r="O37" s="12">
        <v>22</v>
      </c>
      <c r="P37" s="12">
        <v>20</v>
      </c>
      <c r="Q37" s="16">
        <f t="shared" si="2"/>
        <v>90.909090909090907</v>
      </c>
      <c r="R37" s="12">
        <v>24</v>
      </c>
      <c r="S37" s="12">
        <v>13</v>
      </c>
      <c r="T37" s="16">
        <f t="shared" si="3"/>
        <v>54.166666666666664</v>
      </c>
      <c r="U37" s="12">
        <v>16</v>
      </c>
      <c r="V37" s="12">
        <v>14</v>
      </c>
      <c r="W37" s="17">
        <f t="shared" si="4"/>
        <v>87.5</v>
      </c>
      <c r="X37" s="12">
        <v>17</v>
      </c>
      <c r="Y37" s="5">
        <v>9</v>
      </c>
      <c r="Z37" s="17">
        <f t="shared" si="5"/>
        <v>52.941176470588232</v>
      </c>
    </row>
    <row r="38" spans="1:26" ht="18" x14ac:dyDescent="0.3">
      <c r="A38" s="2">
        <v>34</v>
      </c>
      <c r="B38" s="7" t="s">
        <v>37</v>
      </c>
      <c r="C38" s="12">
        <v>17</v>
      </c>
      <c r="D38" s="12">
        <v>17</v>
      </c>
      <c r="E38" s="12">
        <v>100</v>
      </c>
      <c r="F38" s="12">
        <v>23</v>
      </c>
      <c r="G38" s="12">
        <v>23</v>
      </c>
      <c r="H38" s="12">
        <v>100</v>
      </c>
      <c r="I38" s="12">
        <v>26</v>
      </c>
      <c r="J38" s="12">
        <v>23</v>
      </c>
      <c r="K38" s="16">
        <f t="shared" si="0"/>
        <v>88.461538461538467</v>
      </c>
      <c r="L38" s="12">
        <v>22</v>
      </c>
      <c r="M38" s="12">
        <v>18</v>
      </c>
      <c r="N38" s="16">
        <f t="shared" si="1"/>
        <v>81.818181818181813</v>
      </c>
      <c r="O38" s="12">
        <v>22</v>
      </c>
      <c r="P38" s="12">
        <v>19</v>
      </c>
      <c r="Q38" s="16">
        <f t="shared" si="2"/>
        <v>86.36363636363636</v>
      </c>
      <c r="R38" s="12">
        <v>24</v>
      </c>
      <c r="S38" s="12">
        <v>20</v>
      </c>
      <c r="T38" s="16">
        <f t="shared" si="3"/>
        <v>83.333333333333329</v>
      </c>
      <c r="U38" s="12">
        <v>16</v>
      </c>
      <c r="V38" s="12">
        <v>9</v>
      </c>
      <c r="W38" s="17">
        <f t="shared" si="4"/>
        <v>56.25</v>
      </c>
      <c r="X38" s="12">
        <v>17</v>
      </c>
      <c r="Y38" s="6">
        <v>0</v>
      </c>
      <c r="Z38" s="17">
        <f t="shared" si="5"/>
        <v>0</v>
      </c>
    </row>
    <row r="39" spans="1:26" ht="18" x14ac:dyDescent="0.3">
      <c r="A39" s="2">
        <v>35</v>
      </c>
      <c r="B39" s="7" t="s">
        <v>67</v>
      </c>
      <c r="C39" s="12">
        <v>17</v>
      </c>
      <c r="D39" s="12">
        <v>17</v>
      </c>
      <c r="E39" s="12">
        <v>100</v>
      </c>
      <c r="F39" s="12">
        <v>23</v>
      </c>
      <c r="G39" s="12">
        <v>23</v>
      </c>
      <c r="H39" s="12">
        <v>100</v>
      </c>
      <c r="I39" s="12">
        <v>26</v>
      </c>
      <c r="J39" s="12">
        <v>25</v>
      </c>
      <c r="K39" s="16">
        <f t="shared" si="0"/>
        <v>96.15384615384616</v>
      </c>
      <c r="L39" s="12">
        <v>22</v>
      </c>
      <c r="M39" s="12">
        <v>22</v>
      </c>
      <c r="N39" s="16">
        <f t="shared" si="1"/>
        <v>100</v>
      </c>
      <c r="O39" s="12">
        <v>22</v>
      </c>
      <c r="P39" s="12">
        <v>21</v>
      </c>
      <c r="Q39" s="16">
        <f t="shared" si="2"/>
        <v>95.454545454545453</v>
      </c>
      <c r="R39" s="12">
        <v>24</v>
      </c>
      <c r="S39" s="12">
        <v>20</v>
      </c>
      <c r="T39" s="16">
        <f t="shared" si="3"/>
        <v>83.333333333333329</v>
      </c>
      <c r="U39" s="12">
        <v>16</v>
      </c>
      <c r="V39" s="12">
        <v>13</v>
      </c>
      <c r="W39" s="17">
        <f t="shared" si="4"/>
        <v>81.25</v>
      </c>
      <c r="X39" s="12">
        <v>17</v>
      </c>
      <c r="Y39" s="5">
        <v>9</v>
      </c>
      <c r="Z39" s="17">
        <f t="shared" si="5"/>
        <v>52.941176470588232</v>
      </c>
    </row>
    <row r="40" spans="1:26" ht="18" x14ac:dyDescent="0.3">
      <c r="A40" s="2">
        <v>36</v>
      </c>
      <c r="B40" s="7" t="s">
        <v>38</v>
      </c>
      <c r="C40" s="12">
        <v>17</v>
      </c>
      <c r="D40" s="12">
        <v>17</v>
      </c>
      <c r="E40" s="12">
        <v>100</v>
      </c>
      <c r="F40" s="12">
        <v>23</v>
      </c>
      <c r="G40" s="12">
        <v>23</v>
      </c>
      <c r="H40" s="12">
        <v>100</v>
      </c>
      <c r="I40" s="12">
        <v>26</v>
      </c>
      <c r="J40" s="12">
        <v>25</v>
      </c>
      <c r="K40" s="16">
        <f t="shared" si="0"/>
        <v>96.15384615384616</v>
      </c>
      <c r="L40" s="12">
        <v>22</v>
      </c>
      <c r="M40" s="12">
        <v>17</v>
      </c>
      <c r="N40" s="16">
        <f t="shared" si="1"/>
        <v>77.272727272727266</v>
      </c>
      <c r="O40" s="12">
        <v>22</v>
      </c>
      <c r="P40" s="12">
        <v>18</v>
      </c>
      <c r="Q40" s="16">
        <f t="shared" si="2"/>
        <v>81.818181818181813</v>
      </c>
      <c r="R40" s="12">
        <v>24</v>
      </c>
      <c r="S40" s="12">
        <v>17</v>
      </c>
      <c r="T40" s="16">
        <f t="shared" si="3"/>
        <v>70.833333333333329</v>
      </c>
      <c r="U40" s="12">
        <v>16</v>
      </c>
      <c r="V40" s="12">
        <v>12</v>
      </c>
      <c r="W40" s="17">
        <f t="shared" si="4"/>
        <v>75</v>
      </c>
      <c r="X40" s="12">
        <v>17</v>
      </c>
      <c r="Y40" s="6">
        <v>13</v>
      </c>
      <c r="Z40" s="17">
        <f t="shared" si="5"/>
        <v>76.470588235294116</v>
      </c>
    </row>
    <row r="41" spans="1:26" ht="18" x14ac:dyDescent="0.3">
      <c r="A41" s="2">
        <v>37</v>
      </c>
      <c r="B41" s="7" t="s">
        <v>39</v>
      </c>
      <c r="C41" s="12">
        <v>17</v>
      </c>
      <c r="D41" s="12">
        <v>17</v>
      </c>
      <c r="E41" s="12">
        <v>100</v>
      </c>
      <c r="F41" s="12">
        <v>23</v>
      </c>
      <c r="G41" s="12">
        <v>23</v>
      </c>
      <c r="H41" s="12">
        <v>100</v>
      </c>
      <c r="I41" s="12">
        <v>26</v>
      </c>
      <c r="J41" s="12">
        <v>26</v>
      </c>
      <c r="K41" s="16">
        <f t="shared" si="0"/>
        <v>100</v>
      </c>
      <c r="L41" s="12">
        <v>22</v>
      </c>
      <c r="M41" s="12">
        <v>22</v>
      </c>
      <c r="N41" s="16">
        <f t="shared" si="1"/>
        <v>100</v>
      </c>
      <c r="O41" s="12">
        <v>22</v>
      </c>
      <c r="P41" s="12">
        <v>21</v>
      </c>
      <c r="Q41" s="16">
        <f t="shared" si="2"/>
        <v>95.454545454545453</v>
      </c>
      <c r="R41" s="12">
        <v>24</v>
      </c>
      <c r="S41" s="12">
        <v>21</v>
      </c>
      <c r="T41" s="16">
        <f t="shared" si="3"/>
        <v>87.5</v>
      </c>
      <c r="U41" s="12">
        <v>16</v>
      </c>
      <c r="V41" s="12">
        <v>14</v>
      </c>
      <c r="W41" s="17">
        <f t="shared" si="4"/>
        <v>87.5</v>
      </c>
      <c r="X41" s="12">
        <v>17</v>
      </c>
      <c r="Y41" s="5">
        <v>17</v>
      </c>
      <c r="Z41" s="17">
        <f t="shared" si="5"/>
        <v>100</v>
      </c>
    </row>
    <row r="42" spans="1:26" ht="18" x14ac:dyDescent="0.3">
      <c r="A42" s="2">
        <v>38</v>
      </c>
      <c r="B42" s="7" t="s">
        <v>40</v>
      </c>
      <c r="C42" s="12">
        <v>17</v>
      </c>
      <c r="D42" s="12">
        <v>17</v>
      </c>
      <c r="E42" s="12">
        <v>100</v>
      </c>
      <c r="F42" s="12">
        <v>23</v>
      </c>
      <c r="G42" s="12">
        <v>23</v>
      </c>
      <c r="H42" s="12">
        <v>100</v>
      </c>
      <c r="I42" s="12">
        <v>26</v>
      </c>
      <c r="J42" s="12">
        <v>26</v>
      </c>
      <c r="K42" s="16">
        <f t="shared" si="0"/>
        <v>100</v>
      </c>
      <c r="L42" s="12">
        <v>22</v>
      </c>
      <c r="M42" s="12">
        <v>21</v>
      </c>
      <c r="N42" s="16">
        <f t="shared" si="1"/>
        <v>95.454545454545453</v>
      </c>
      <c r="O42" s="12">
        <v>22</v>
      </c>
      <c r="P42" s="12">
        <v>20</v>
      </c>
      <c r="Q42" s="16">
        <f t="shared" si="2"/>
        <v>90.909090909090907</v>
      </c>
      <c r="R42" s="12">
        <v>24</v>
      </c>
      <c r="S42" s="12">
        <v>19</v>
      </c>
      <c r="T42" s="16">
        <f t="shared" si="3"/>
        <v>79.166666666666671</v>
      </c>
      <c r="U42" s="12">
        <v>16</v>
      </c>
      <c r="V42" s="12">
        <v>16</v>
      </c>
      <c r="W42" s="17">
        <f t="shared" si="4"/>
        <v>100</v>
      </c>
      <c r="X42" s="12">
        <v>17</v>
      </c>
      <c r="Y42" s="6">
        <v>16</v>
      </c>
      <c r="Z42" s="17">
        <f t="shared" si="5"/>
        <v>94.117647058823536</v>
      </c>
    </row>
    <row r="43" spans="1:26" ht="18" x14ac:dyDescent="0.3">
      <c r="A43" s="2">
        <v>39</v>
      </c>
      <c r="B43" s="7" t="s">
        <v>41</v>
      </c>
      <c r="C43" s="12">
        <v>17</v>
      </c>
      <c r="D43" s="12">
        <v>17</v>
      </c>
      <c r="E43" s="12">
        <v>100</v>
      </c>
      <c r="F43" s="12">
        <v>23</v>
      </c>
      <c r="G43" s="12">
        <v>23</v>
      </c>
      <c r="H43" s="12">
        <v>100</v>
      </c>
      <c r="I43" s="12">
        <v>26</v>
      </c>
      <c r="J43" s="12">
        <v>26</v>
      </c>
      <c r="K43" s="16">
        <f t="shared" si="0"/>
        <v>100</v>
      </c>
      <c r="L43" s="12">
        <v>22</v>
      </c>
      <c r="M43" s="12">
        <v>17</v>
      </c>
      <c r="N43" s="16">
        <f t="shared" si="1"/>
        <v>77.272727272727266</v>
      </c>
      <c r="O43" s="12">
        <v>22</v>
      </c>
      <c r="P43" s="12">
        <v>19</v>
      </c>
      <c r="Q43" s="16">
        <f t="shared" si="2"/>
        <v>86.36363636363636</v>
      </c>
      <c r="R43" s="12">
        <v>24</v>
      </c>
      <c r="S43" s="12">
        <v>19</v>
      </c>
      <c r="T43" s="16">
        <f t="shared" si="3"/>
        <v>79.166666666666671</v>
      </c>
      <c r="U43" s="12">
        <v>16</v>
      </c>
      <c r="V43" s="12">
        <v>14</v>
      </c>
      <c r="W43" s="17">
        <f t="shared" si="4"/>
        <v>87.5</v>
      </c>
      <c r="X43" s="12">
        <v>17</v>
      </c>
      <c r="Y43" s="5">
        <v>7</v>
      </c>
      <c r="Z43" s="17">
        <f t="shared" si="5"/>
        <v>41.176470588235297</v>
      </c>
    </row>
    <row r="44" spans="1:26" ht="18" x14ac:dyDescent="0.3">
      <c r="A44" s="2">
        <v>40</v>
      </c>
      <c r="B44" s="7" t="s">
        <v>42</v>
      </c>
      <c r="C44" s="12">
        <v>17</v>
      </c>
      <c r="D44" s="12">
        <v>17</v>
      </c>
      <c r="E44" s="12">
        <v>100</v>
      </c>
      <c r="F44" s="12">
        <v>23</v>
      </c>
      <c r="G44" s="12">
        <v>23</v>
      </c>
      <c r="H44" s="12">
        <v>100</v>
      </c>
      <c r="I44" s="12">
        <v>26</v>
      </c>
      <c r="J44" s="12">
        <v>24</v>
      </c>
      <c r="K44" s="16">
        <f t="shared" si="0"/>
        <v>92.307692307692307</v>
      </c>
      <c r="L44" s="12">
        <v>22</v>
      </c>
      <c r="M44" s="12">
        <v>18</v>
      </c>
      <c r="N44" s="16">
        <f t="shared" si="1"/>
        <v>81.818181818181813</v>
      </c>
      <c r="O44" s="12">
        <v>22</v>
      </c>
      <c r="P44" s="12">
        <v>18</v>
      </c>
      <c r="Q44" s="16">
        <f t="shared" si="2"/>
        <v>81.818181818181813</v>
      </c>
      <c r="R44" s="12">
        <v>24</v>
      </c>
      <c r="S44" s="12">
        <v>14</v>
      </c>
      <c r="T44" s="16">
        <f t="shared" si="3"/>
        <v>58.333333333333336</v>
      </c>
      <c r="U44" s="12">
        <v>16</v>
      </c>
      <c r="V44" s="12">
        <v>11</v>
      </c>
      <c r="W44" s="17">
        <f t="shared" si="4"/>
        <v>68.75</v>
      </c>
      <c r="X44" s="12">
        <v>17</v>
      </c>
      <c r="Y44" s="6">
        <v>13</v>
      </c>
      <c r="Z44" s="17">
        <f t="shared" si="5"/>
        <v>76.470588235294116</v>
      </c>
    </row>
    <row r="45" spans="1:26" ht="18" x14ac:dyDescent="0.3">
      <c r="A45" s="2">
        <v>41</v>
      </c>
      <c r="B45" s="7" t="s">
        <v>43</v>
      </c>
      <c r="C45" s="12">
        <v>17</v>
      </c>
      <c r="D45" s="12">
        <v>17</v>
      </c>
      <c r="E45" s="12">
        <v>100</v>
      </c>
      <c r="F45" s="12">
        <v>23</v>
      </c>
      <c r="G45" s="12">
        <v>23</v>
      </c>
      <c r="H45" s="12">
        <v>100</v>
      </c>
      <c r="I45" s="12">
        <v>26</v>
      </c>
      <c r="J45" s="12">
        <v>26</v>
      </c>
      <c r="K45" s="16">
        <f t="shared" si="0"/>
        <v>100</v>
      </c>
      <c r="L45" s="12">
        <v>22</v>
      </c>
      <c r="M45" s="12">
        <v>18</v>
      </c>
      <c r="N45" s="16">
        <f t="shared" si="1"/>
        <v>81.818181818181813</v>
      </c>
      <c r="O45" s="12">
        <v>22</v>
      </c>
      <c r="P45" s="12">
        <v>20</v>
      </c>
      <c r="Q45" s="16">
        <f t="shared" si="2"/>
        <v>90.909090909090907</v>
      </c>
      <c r="R45" s="12">
        <v>24</v>
      </c>
      <c r="S45" s="12">
        <v>19</v>
      </c>
      <c r="T45" s="16">
        <f t="shared" si="3"/>
        <v>79.166666666666671</v>
      </c>
      <c r="U45" s="12">
        <v>16</v>
      </c>
      <c r="V45" s="12">
        <v>13</v>
      </c>
      <c r="W45" s="17">
        <f t="shared" si="4"/>
        <v>81.25</v>
      </c>
      <c r="X45" s="12">
        <v>17</v>
      </c>
      <c r="Y45" s="5">
        <v>12</v>
      </c>
      <c r="Z45" s="17">
        <f t="shared" si="5"/>
        <v>70.588235294117652</v>
      </c>
    </row>
    <row r="46" spans="1:26" ht="18" x14ac:dyDescent="0.3">
      <c r="A46" s="2">
        <v>42</v>
      </c>
      <c r="B46" s="7" t="s">
        <v>44</v>
      </c>
      <c r="C46" s="12">
        <v>17</v>
      </c>
      <c r="D46" s="12">
        <v>17</v>
      </c>
      <c r="E46" s="12">
        <v>100</v>
      </c>
      <c r="F46" s="12">
        <v>23</v>
      </c>
      <c r="G46" s="12">
        <v>23</v>
      </c>
      <c r="H46" s="12">
        <v>100</v>
      </c>
      <c r="I46" s="12">
        <v>26</v>
      </c>
      <c r="J46" s="12">
        <v>26</v>
      </c>
      <c r="K46" s="16">
        <f t="shared" si="0"/>
        <v>100</v>
      </c>
      <c r="L46" s="12">
        <v>22</v>
      </c>
      <c r="M46" s="12">
        <v>21</v>
      </c>
      <c r="N46" s="16">
        <f t="shared" si="1"/>
        <v>95.454545454545453</v>
      </c>
      <c r="O46" s="12">
        <v>22</v>
      </c>
      <c r="P46" s="12">
        <v>21</v>
      </c>
      <c r="Q46" s="16">
        <f t="shared" si="2"/>
        <v>95.454545454545453</v>
      </c>
      <c r="R46" s="12">
        <v>24</v>
      </c>
      <c r="S46" s="12">
        <v>19</v>
      </c>
      <c r="T46" s="16">
        <f t="shared" si="3"/>
        <v>79.166666666666671</v>
      </c>
      <c r="U46" s="12">
        <v>16</v>
      </c>
      <c r="V46" s="12">
        <v>13</v>
      </c>
      <c r="W46" s="17">
        <f t="shared" si="4"/>
        <v>81.25</v>
      </c>
      <c r="X46" s="12">
        <v>17</v>
      </c>
      <c r="Y46" s="6">
        <v>17</v>
      </c>
      <c r="Z46" s="17">
        <f t="shared" si="5"/>
        <v>100</v>
      </c>
    </row>
    <row r="47" spans="1:26" ht="18" x14ac:dyDescent="0.3">
      <c r="A47" s="2">
        <v>43</v>
      </c>
      <c r="B47" s="7" t="s">
        <v>45</v>
      </c>
      <c r="C47" s="12">
        <v>17</v>
      </c>
      <c r="D47" s="12">
        <v>17</v>
      </c>
      <c r="E47" s="12">
        <v>100</v>
      </c>
      <c r="F47" s="12">
        <v>23</v>
      </c>
      <c r="G47" s="12">
        <v>23</v>
      </c>
      <c r="H47" s="12">
        <v>100</v>
      </c>
      <c r="I47" s="12">
        <v>26</v>
      </c>
      <c r="J47" s="12">
        <v>24</v>
      </c>
      <c r="K47" s="16">
        <f t="shared" si="0"/>
        <v>92.307692307692307</v>
      </c>
      <c r="L47" s="12">
        <v>22</v>
      </c>
      <c r="M47" s="12">
        <v>19</v>
      </c>
      <c r="N47" s="16">
        <f t="shared" si="1"/>
        <v>86.36363636363636</v>
      </c>
      <c r="O47" s="12">
        <v>22</v>
      </c>
      <c r="P47" s="12">
        <v>21</v>
      </c>
      <c r="Q47" s="16">
        <f t="shared" si="2"/>
        <v>95.454545454545453</v>
      </c>
      <c r="R47" s="12">
        <v>24</v>
      </c>
      <c r="S47" s="12">
        <v>19</v>
      </c>
      <c r="T47" s="16">
        <f t="shared" si="3"/>
        <v>79.166666666666671</v>
      </c>
      <c r="U47" s="12">
        <v>16</v>
      </c>
      <c r="V47" s="12">
        <v>14</v>
      </c>
      <c r="W47" s="17">
        <f t="shared" si="4"/>
        <v>87.5</v>
      </c>
      <c r="X47" s="12">
        <v>17</v>
      </c>
      <c r="Y47" s="5">
        <v>12</v>
      </c>
      <c r="Z47" s="17">
        <f t="shared" si="5"/>
        <v>70.588235294117652</v>
      </c>
    </row>
    <row r="48" spans="1:26" ht="18" x14ac:dyDescent="0.3">
      <c r="A48" s="2">
        <v>44</v>
      </c>
      <c r="B48" s="7" t="s">
        <v>46</v>
      </c>
      <c r="C48" s="12">
        <v>17</v>
      </c>
      <c r="D48" s="12">
        <v>17</v>
      </c>
      <c r="E48" s="12">
        <v>100</v>
      </c>
      <c r="F48" s="12">
        <v>23</v>
      </c>
      <c r="G48" s="12">
        <v>23</v>
      </c>
      <c r="H48" s="12">
        <v>100</v>
      </c>
      <c r="I48" s="12">
        <v>26</v>
      </c>
      <c r="J48" s="12">
        <v>23</v>
      </c>
      <c r="K48" s="16">
        <f t="shared" si="0"/>
        <v>88.461538461538467</v>
      </c>
      <c r="L48" s="12">
        <v>22</v>
      </c>
      <c r="M48" s="12">
        <v>16</v>
      </c>
      <c r="N48" s="16">
        <f t="shared" si="1"/>
        <v>72.727272727272734</v>
      </c>
      <c r="O48" s="12">
        <v>22</v>
      </c>
      <c r="P48" s="12">
        <v>14</v>
      </c>
      <c r="Q48" s="16">
        <f t="shared" si="2"/>
        <v>63.636363636363633</v>
      </c>
      <c r="R48" s="12">
        <v>24</v>
      </c>
      <c r="S48" s="12">
        <v>13</v>
      </c>
      <c r="T48" s="16">
        <f t="shared" si="3"/>
        <v>54.166666666666664</v>
      </c>
      <c r="U48" s="12">
        <v>16</v>
      </c>
      <c r="V48" s="12">
        <v>8</v>
      </c>
      <c r="W48" s="17">
        <f t="shared" si="4"/>
        <v>50</v>
      </c>
      <c r="X48" s="12">
        <v>17</v>
      </c>
      <c r="Y48" s="6">
        <v>7</v>
      </c>
      <c r="Z48" s="17">
        <f t="shared" si="5"/>
        <v>41.176470588235297</v>
      </c>
    </row>
    <row r="49" spans="1:26" ht="18" x14ac:dyDescent="0.3">
      <c r="A49" s="2">
        <v>45</v>
      </c>
      <c r="B49" s="7" t="s">
        <v>47</v>
      </c>
      <c r="C49" s="12">
        <v>17</v>
      </c>
      <c r="D49" s="12">
        <v>17</v>
      </c>
      <c r="E49" s="12">
        <v>100</v>
      </c>
      <c r="F49" s="12">
        <v>23</v>
      </c>
      <c r="G49" s="12">
        <v>23</v>
      </c>
      <c r="H49" s="12">
        <v>100</v>
      </c>
      <c r="I49" s="12">
        <v>26</v>
      </c>
      <c r="J49" s="12">
        <v>23</v>
      </c>
      <c r="K49" s="16">
        <f t="shared" si="0"/>
        <v>88.461538461538467</v>
      </c>
      <c r="L49" s="12">
        <v>22</v>
      </c>
      <c r="M49" s="12">
        <v>19</v>
      </c>
      <c r="N49" s="16">
        <f t="shared" si="1"/>
        <v>86.36363636363636</v>
      </c>
      <c r="O49" s="12">
        <v>22</v>
      </c>
      <c r="P49" s="12">
        <v>19</v>
      </c>
      <c r="Q49" s="16">
        <f t="shared" si="2"/>
        <v>86.36363636363636</v>
      </c>
      <c r="R49" s="12">
        <v>24</v>
      </c>
      <c r="S49" s="12">
        <v>13</v>
      </c>
      <c r="T49" s="16">
        <f t="shared" si="3"/>
        <v>54.166666666666664</v>
      </c>
      <c r="U49" s="12">
        <v>16</v>
      </c>
      <c r="V49" s="12">
        <v>11</v>
      </c>
      <c r="W49" s="17">
        <f t="shared" si="4"/>
        <v>68.75</v>
      </c>
      <c r="X49" s="12">
        <v>17</v>
      </c>
      <c r="Y49" s="5">
        <v>14</v>
      </c>
      <c r="Z49" s="17">
        <f t="shared" si="5"/>
        <v>82.352941176470594</v>
      </c>
    </row>
    <row r="50" spans="1:26" ht="18" x14ac:dyDescent="0.3">
      <c r="A50" s="2">
        <v>46</v>
      </c>
      <c r="B50" s="7" t="s">
        <v>48</v>
      </c>
      <c r="C50" s="12">
        <v>17</v>
      </c>
      <c r="D50" s="12">
        <v>17</v>
      </c>
      <c r="E50" s="12">
        <v>100</v>
      </c>
      <c r="F50" s="12">
        <v>23</v>
      </c>
      <c r="G50" s="12">
        <v>23</v>
      </c>
      <c r="H50" s="12">
        <v>100</v>
      </c>
      <c r="I50" s="12">
        <v>26</v>
      </c>
      <c r="J50" s="12">
        <v>24</v>
      </c>
      <c r="K50" s="16">
        <f t="shared" si="0"/>
        <v>92.307692307692307</v>
      </c>
      <c r="L50" s="12">
        <v>22</v>
      </c>
      <c r="M50" s="12">
        <v>20</v>
      </c>
      <c r="N50" s="16">
        <f t="shared" si="1"/>
        <v>90.909090909090907</v>
      </c>
      <c r="O50" s="12">
        <v>22</v>
      </c>
      <c r="P50" s="12">
        <v>19</v>
      </c>
      <c r="Q50" s="16">
        <f t="shared" si="2"/>
        <v>86.36363636363636</v>
      </c>
      <c r="R50" s="12">
        <v>24</v>
      </c>
      <c r="S50" s="12">
        <v>18</v>
      </c>
      <c r="T50" s="16">
        <f t="shared" si="3"/>
        <v>75</v>
      </c>
      <c r="U50" s="12">
        <v>16</v>
      </c>
      <c r="V50" s="12">
        <v>9</v>
      </c>
      <c r="W50" s="17">
        <f t="shared" si="4"/>
        <v>56.25</v>
      </c>
      <c r="X50" s="12">
        <v>17</v>
      </c>
      <c r="Y50" s="6">
        <v>15</v>
      </c>
      <c r="Z50" s="17">
        <f t="shared" si="5"/>
        <v>88.235294117647058</v>
      </c>
    </row>
    <row r="51" spans="1:26" ht="18" x14ac:dyDescent="0.3">
      <c r="A51" s="2">
        <v>47</v>
      </c>
      <c r="B51" s="7" t="s">
        <v>49</v>
      </c>
      <c r="C51" s="12">
        <v>17</v>
      </c>
      <c r="D51" s="12">
        <v>17</v>
      </c>
      <c r="E51" s="12">
        <v>100</v>
      </c>
      <c r="F51" s="12">
        <v>23</v>
      </c>
      <c r="G51" s="12">
        <v>23</v>
      </c>
      <c r="H51" s="12">
        <v>100</v>
      </c>
      <c r="I51" s="12">
        <v>26</v>
      </c>
      <c r="J51" s="12">
        <v>25</v>
      </c>
      <c r="K51" s="16">
        <f t="shared" si="0"/>
        <v>96.15384615384616</v>
      </c>
      <c r="L51" s="12">
        <v>22</v>
      </c>
      <c r="M51" s="12">
        <v>20</v>
      </c>
      <c r="N51" s="16">
        <f t="shared" si="1"/>
        <v>90.909090909090907</v>
      </c>
      <c r="O51" s="12">
        <v>22</v>
      </c>
      <c r="P51" s="12">
        <v>18</v>
      </c>
      <c r="Q51" s="16">
        <f t="shared" si="2"/>
        <v>81.818181818181813</v>
      </c>
      <c r="R51" s="12">
        <v>24</v>
      </c>
      <c r="S51" s="12">
        <v>17</v>
      </c>
      <c r="T51" s="16">
        <f t="shared" si="3"/>
        <v>70.833333333333329</v>
      </c>
      <c r="U51" s="12">
        <v>16</v>
      </c>
      <c r="V51" s="12">
        <v>11</v>
      </c>
      <c r="W51" s="17">
        <f t="shared" si="4"/>
        <v>68.75</v>
      </c>
      <c r="X51" s="12">
        <v>17</v>
      </c>
      <c r="Y51" s="5">
        <v>16</v>
      </c>
      <c r="Z51" s="17">
        <f t="shared" si="5"/>
        <v>94.117647058823536</v>
      </c>
    </row>
    <row r="52" spans="1:26" ht="18" x14ac:dyDescent="0.3">
      <c r="A52" s="2">
        <v>48</v>
      </c>
      <c r="B52" s="7" t="s">
        <v>50</v>
      </c>
      <c r="C52" s="12">
        <v>17</v>
      </c>
      <c r="D52" s="12">
        <v>17</v>
      </c>
      <c r="E52" s="12">
        <v>100</v>
      </c>
      <c r="F52" s="12">
        <v>23</v>
      </c>
      <c r="G52" s="12">
        <v>23</v>
      </c>
      <c r="H52" s="12">
        <v>100</v>
      </c>
      <c r="I52" s="12">
        <v>26</v>
      </c>
      <c r="J52" s="12">
        <v>21</v>
      </c>
      <c r="K52" s="16">
        <f t="shared" si="0"/>
        <v>80.769230769230774</v>
      </c>
      <c r="L52" s="12">
        <v>22</v>
      </c>
      <c r="M52" s="12">
        <v>17</v>
      </c>
      <c r="N52" s="16">
        <f t="shared" si="1"/>
        <v>77.272727272727266</v>
      </c>
      <c r="O52" s="12">
        <v>22</v>
      </c>
      <c r="P52" s="12">
        <v>19</v>
      </c>
      <c r="Q52" s="16">
        <f t="shared" si="2"/>
        <v>86.36363636363636</v>
      </c>
      <c r="R52" s="12">
        <v>24</v>
      </c>
      <c r="S52" s="12">
        <v>19</v>
      </c>
      <c r="T52" s="16">
        <f t="shared" si="3"/>
        <v>79.166666666666671</v>
      </c>
      <c r="U52" s="12">
        <v>16</v>
      </c>
      <c r="V52" s="12">
        <v>11</v>
      </c>
      <c r="W52" s="17">
        <f t="shared" si="4"/>
        <v>68.75</v>
      </c>
      <c r="X52" s="12">
        <v>17</v>
      </c>
      <c r="Y52" s="6">
        <v>11</v>
      </c>
      <c r="Z52" s="17">
        <f t="shared" si="5"/>
        <v>64.705882352941174</v>
      </c>
    </row>
    <row r="53" spans="1:26" ht="18" x14ac:dyDescent="0.3">
      <c r="A53" s="2">
        <v>49</v>
      </c>
      <c r="B53" s="7" t="s">
        <v>51</v>
      </c>
      <c r="C53" s="12">
        <v>17</v>
      </c>
      <c r="D53" s="12">
        <v>17</v>
      </c>
      <c r="E53" s="12">
        <v>100</v>
      </c>
      <c r="F53" s="12">
        <v>23</v>
      </c>
      <c r="G53" s="12">
        <v>23</v>
      </c>
      <c r="H53" s="12">
        <v>100</v>
      </c>
      <c r="I53" s="12">
        <v>26</v>
      </c>
      <c r="J53" s="12">
        <v>21</v>
      </c>
      <c r="K53" s="16">
        <f t="shared" si="0"/>
        <v>80.769230769230774</v>
      </c>
      <c r="L53" s="12">
        <v>22</v>
      </c>
      <c r="M53" s="12">
        <v>16</v>
      </c>
      <c r="N53" s="16">
        <f t="shared" si="1"/>
        <v>72.727272727272734</v>
      </c>
      <c r="O53" s="12">
        <v>22</v>
      </c>
      <c r="P53" s="12">
        <v>19</v>
      </c>
      <c r="Q53" s="16">
        <f t="shared" si="2"/>
        <v>86.36363636363636</v>
      </c>
      <c r="R53" s="12">
        <v>24</v>
      </c>
      <c r="S53" s="12">
        <v>17</v>
      </c>
      <c r="T53" s="16">
        <f t="shared" si="3"/>
        <v>70.833333333333329</v>
      </c>
      <c r="U53" s="12">
        <v>16</v>
      </c>
      <c r="V53" s="12">
        <v>9</v>
      </c>
      <c r="W53" s="17">
        <f t="shared" si="4"/>
        <v>56.25</v>
      </c>
      <c r="X53" s="12">
        <v>17</v>
      </c>
      <c r="Y53" s="5">
        <v>14</v>
      </c>
      <c r="Z53" s="17">
        <f t="shared" si="5"/>
        <v>82.352941176470594</v>
      </c>
    </row>
    <row r="54" spans="1:26" ht="18" x14ac:dyDescent="0.3">
      <c r="A54" s="2">
        <v>50</v>
      </c>
      <c r="B54" s="7" t="s">
        <v>52</v>
      </c>
      <c r="C54" s="12">
        <v>17</v>
      </c>
      <c r="D54" s="12">
        <v>17</v>
      </c>
      <c r="E54" s="12">
        <v>100</v>
      </c>
      <c r="F54" s="12">
        <v>23</v>
      </c>
      <c r="G54" s="12">
        <v>23</v>
      </c>
      <c r="H54" s="12">
        <v>100</v>
      </c>
      <c r="I54" s="12">
        <v>26</v>
      </c>
      <c r="J54" s="12">
        <v>25</v>
      </c>
      <c r="K54" s="16">
        <f t="shared" si="0"/>
        <v>96.15384615384616</v>
      </c>
      <c r="L54" s="12">
        <v>22</v>
      </c>
      <c r="M54" s="12">
        <v>7</v>
      </c>
      <c r="N54" s="16">
        <f t="shared" si="1"/>
        <v>31.818181818181817</v>
      </c>
      <c r="O54" s="12">
        <v>22</v>
      </c>
      <c r="P54" s="12">
        <v>21</v>
      </c>
      <c r="Q54" s="16">
        <f t="shared" si="2"/>
        <v>95.454545454545453</v>
      </c>
      <c r="R54" s="12">
        <v>24</v>
      </c>
      <c r="S54" s="12">
        <v>20</v>
      </c>
      <c r="T54" s="16">
        <f t="shared" si="3"/>
        <v>83.333333333333329</v>
      </c>
      <c r="U54" s="12">
        <v>16</v>
      </c>
      <c r="V54" s="12">
        <v>7</v>
      </c>
      <c r="W54" s="17">
        <f t="shared" si="4"/>
        <v>43.75</v>
      </c>
      <c r="X54" s="12">
        <v>17</v>
      </c>
      <c r="Y54" s="6">
        <v>16</v>
      </c>
      <c r="Z54" s="17">
        <f t="shared" si="5"/>
        <v>94.117647058823536</v>
      </c>
    </row>
    <row r="55" spans="1:26" ht="18" x14ac:dyDescent="0.3">
      <c r="A55" s="2">
        <v>51</v>
      </c>
      <c r="B55" s="7" t="s">
        <v>53</v>
      </c>
      <c r="C55" s="12">
        <v>17</v>
      </c>
      <c r="D55" s="12">
        <v>17</v>
      </c>
      <c r="E55" s="12">
        <v>100</v>
      </c>
      <c r="F55" s="12">
        <v>23</v>
      </c>
      <c r="G55" s="12">
        <v>23</v>
      </c>
      <c r="H55" s="12">
        <v>100</v>
      </c>
      <c r="I55" s="12">
        <v>26</v>
      </c>
      <c r="J55" s="12">
        <v>26</v>
      </c>
      <c r="K55" s="16">
        <f t="shared" si="0"/>
        <v>100</v>
      </c>
      <c r="L55" s="12">
        <v>22</v>
      </c>
      <c r="M55" s="12">
        <v>21</v>
      </c>
      <c r="N55" s="16">
        <f t="shared" si="1"/>
        <v>95.454545454545453</v>
      </c>
      <c r="O55" s="12">
        <v>22</v>
      </c>
      <c r="P55" s="12">
        <v>19</v>
      </c>
      <c r="Q55" s="16">
        <f t="shared" si="2"/>
        <v>86.36363636363636</v>
      </c>
      <c r="R55" s="12">
        <v>24</v>
      </c>
      <c r="S55" s="12">
        <v>19</v>
      </c>
      <c r="T55" s="16">
        <f t="shared" si="3"/>
        <v>79.166666666666671</v>
      </c>
      <c r="U55" s="12">
        <v>16</v>
      </c>
      <c r="V55" s="12">
        <v>14</v>
      </c>
      <c r="W55" s="17">
        <f t="shared" si="4"/>
        <v>87.5</v>
      </c>
      <c r="X55" s="12">
        <v>17</v>
      </c>
      <c r="Y55" s="5">
        <v>11</v>
      </c>
      <c r="Z55" s="17">
        <f t="shared" si="5"/>
        <v>64.705882352941174</v>
      </c>
    </row>
    <row r="56" spans="1:26" ht="18" x14ac:dyDescent="0.3">
      <c r="A56" s="2">
        <v>52</v>
      </c>
      <c r="B56" s="7" t="s">
        <v>54</v>
      </c>
      <c r="C56" s="12">
        <v>17</v>
      </c>
      <c r="D56" s="12">
        <v>17</v>
      </c>
      <c r="E56" s="12">
        <v>100</v>
      </c>
      <c r="F56" s="12">
        <v>23</v>
      </c>
      <c r="G56" s="12">
        <v>23</v>
      </c>
      <c r="H56" s="12">
        <v>100</v>
      </c>
      <c r="I56" s="12">
        <v>26</v>
      </c>
      <c r="J56" s="12">
        <v>23</v>
      </c>
      <c r="K56" s="16">
        <f t="shared" si="0"/>
        <v>88.461538461538467</v>
      </c>
      <c r="L56" s="12">
        <v>22</v>
      </c>
      <c r="M56" s="12">
        <v>20</v>
      </c>
      <c r="N56" s="16">
        <f t="shared" si="1"/>
        <v>90.909090909090907</v>
      </c>
      <c r="O56" s="12">
        <v>22</v>
      </c>
      <c r="P56" s="12">
        <v>20</v>
      </c>
      <c r="Q56" s="16">
        <f t="shared" si="2"/>
        <v>90.909090909090907</v>
      </c>
      <c r="R56" s="12">
        <v>24</v>
      </c>
      <c r="S56" s="12">
        <v>19</v>
      </c>
      <c r="T56" s="16">
        <f t="shared" si="3"/>
        <v>79.166666666666671</v>
      </c>
      <c r="U56" s="12">
        <v>16</v>
      </c>
      <c r="V56" s="12">
        <v>10</v>
      </c>
      <c r="W56" s="17">
        <f t="shared" si="4"/>
        <v>62.5</v>
      </c>
      <c r="X56" s="12">
        <v>17</v>
      </c>
      <c r="Y56" s="6">
        <v>13</v>
      </c>
      <c r="Z56" s="17">
        <f t="shared" si="5"/>
        <v>76.470588235294116</v>
      </c>
    </row>
    <row r="57" spans="1:26" ht="18" x14ac:dyDescent="0.3">
      <c r="A57" s="2">
        <v>53</v>
      </c>
      <c r="B57" s="7" t="s">
        <v>55</v>
      </c>
      <c r="C57" s="12">
        <v>17</v>
      </c>
      <c r="D57" s="12">
        <v>17</v>
      </c>
      <c r="E57" s="12">
        <v>100</v>
      </c>
      <c r="F57" s="12">
        <v>23</v>
      </c>
      <c r="G57" s="12">
        <v>23</v>
      </c>
      <c r="H57" s="12">
        <v>100</v>
      </c>
      <c r="I57" s="12">
        <v>26</v>
      </c>
      <c r="J57" s="12">
        <v>19</v>
      </c>
      <c r="K57" s="16">
        <f t="shared" si="0"/>
        <v>73.07692307692308</v>
      </c>
      <c r="L57" s="12">
        <v>22</v>
      </c>
      <c r="M57" s="12">
        <v>18</v>
      </c>
      <c r="N57" s="16">
        <f t="shared" si="1"/>
        <v>81.818181818181813</v>
      </c>
      <c r="O57" s="12">
        <v>22</v>
      </c>
      <c r="P57" s="12">
        <v>20</v>
      </c>
      <c r="Q57" s="16">
        <f t="shared" si="2"/>
        <v>90.909090909090907</v>
      </c>
      <c r="R57" s="12">
        <v>24</v>
      </c>
      <c r="S57" s="12">
        <v>22</v>
      </c>
      <c r="T57" s="16">
        <f t="shared" si="3"/>
        <v>91.666666666666671</v>
      </c>
      <c r="U57" s="12">
        <v>16</v>
      </c>
      <c r="V57" s="12">
        <v>12</v>
      </c>
      <c r="W57" s="17">
        <f t="shared" si="4"/>
        <v>75</v>
      </c>
      <c r="X57" s="12">
        <v>17</v>
      </c>
      <c r="Y57" s="5">
        <v>13</v>
      </c>
      <c r="Z57" s="17">
        <f t="shared" si="5"/>
        <v>76.470588235294116</v>
      </c>
    </row>
    <row r="58" spans="1:26" ht="18" x14ac:dyDescent="0.3">
      <c r="A58" s="2">
        <v>54</v>
      </c>
      <c r="B58" s="7" t="s">
        <v>56</v>
      </c>
      <c r="C58" s="12">
        <v>17</v>
      </c>
      <c r="D58" s="12">
        <v>17</v>
      </c>
      <c r="E58" s="12">
        <v>100</v>
      </c>
      <c r="F58" s="12">
        <v>23</v>
      </c>
      <c r="G58" s="12">
        <v>23</v>
      </c>
      <c r="H58" s="12">
        <v>100</v>
      </c>
      <c r="I58" s="12">
        <v>26</v>
      </c>
      <c r="J58" s="12">
        <v>26</v>
      </c>
      <c r="K58" s="16">
        <f t="shared" si="0"/>
        <v>100</v>
      </c>
      <c r="L58" s="12">
        <v>22</v>
      </c>
      <c r="M58" s="12">
        <v>21</v>
      </c>
      <c r="N58" s="16">
        <f t="shared" si="1"/>
        <v>95.454545454545453</v>
      </c>
      <c r="O58" s="12">
        <v>22</v>
      </c>
      <c r="P58" s="12">
        <v>14</v>
      </c>
      <c r="Q58" s="16">
        <f t="shared" si="2"/>
        <v>63.636363636363633</v>
      </c>
      <c r="R58" s="12">
        <v>24</v>
      </c>
      <c r="S58" s="12">
        <v>17</v>
      </c>
      <c r="T58" s="16">
        <f t="shared" si="3"/>
        <v>70.833333333333329</v>
      </c>
      <c r="U58" s="12">
        <v>16</v>
      </c>
      <c r="V58" s="12">
        <v>13</v>
      </c>
      <c r="W58" s="17">
        <f t="shared" si="4"/>
        <v>81.25</v>
      </c>
      <c r="X58" s="12">
        <v>17</v>
      </c>
      <c r="Y58" s="6">
        <v>15</v>
      </c>
      <c r="Z58" s="17">
        <f t="shared" si="5"/>
        <v>88.235294117647058</v>
      </c>
    </row>
    <row r="59" spans="1:26" ht="18" x14ac:dyDescent="0.3">
      <c r="A59" s="2">
        <v>55</v>
      </c>
      <c r="B59" s="7" t="s">
        <v>57</v>
      </c>
      <c r="C59" s="12">
        <v>17</v>
      </c>
      <c r="D59" s="12">
        <v>17</v>
      </c>
      <c r="E59" s="12">
        <v>100</v>
      </c>
      <c r="F59" s="12">
        <v>23</v>
      </c>
      <c r="G59" s="12">
        <v>23</v>
      </c>
      <c r="H59" s="12">
        <v>100</v>
      </c>
      <c r="I59" s="12">
        <v>26</v>
      </c>
      <c r="J59" s="12">
        <v>25</v>
      </c>
      <c r="K59" s="16">
        <f t="shared" si="0"/>
        <v>96.15384615384616</v>
      </c>
      <c r="L59" s="12">
        <v>22</v>
      </c>
      <c r="M59" s="12">
        <v>22</v>
      </c>
      <c r="N59" s="16">
        <f t="shared" si="1"/>
        <v>100</v>
      </c>
      <c r="O59" s="12">
        <v>22</v>
      </c>
      <c r="P59" s="12">
        <v>21</v>
      </c>
      <c r="Q59" s="16">
        <f t="shared" si="2"/>
        <v>95.454545454545453</v>
      </c>
      <c r="R59" s="12">
        <v>24</v>
      </c>
      <c r="S59" s="12">
        <v>16</v>
      </c>
      <c r="T59" s="16">
        <f t="shared" si="3"/>
        <v>66.666666666666671</v>
      </c>
      <c r="U59" s="12">
        <v>16</v>
      </c>
      <c r="V59" s="12">
        <v>13</v>
      </c>
      <c r="W59" s="17">
        <f t="shared" si="4"/>
        <v>81.25</v>
      </c>
      <c r="X59" s="12">
        <v>17</v>
      </c>
      <c r="Y59" s="5">
        <v>17</v>
      </c>
      <c r="Z59" s="17">
        <f t="shared" si="5"/>
        <v>100</v>
      </c>
    </row>
    <row r="60" spans="1:26" ht="18" x14ac:dyDescent="0.3">
      <c r="A60" s="2">
        <v>56</v>
      </c>
      <c r="B60" s="7" t="s">
        <v>58</v>
      </c>
      <c r="C60" s="12">
        <v>17</v>
      </c>
      <c r="D60" s="12">
        <v>17</v>
      </c>
      <c r="E60" s="12">
        <v>100</v>
      </c>
      <c r="F60" s="12">
        <v>23</v>
      </c>
      <c r="G60" s="12">
        <v>23</v>
      </c>
      <c r="H60" s="12">
        <v>100</v>
      </c>
      <c r="I60" s="12">
        <v>26</v>
      </c>
      <c r="J60" s="12">
        <v>13</v>
      </c>
      <c r="K60" s="16">
        <f t="shared" si="0"/>
        <v>50</v>
      </c>
      <c r="L60" s="12">
        <v>22</v>
      </c>
      <c r="M60" s="12">
        <v>3</v>
      </c>
      <c r="N60" s="16">
        <f t="shared" si="1"/>
        <v>13.636363636363637</v>
      </c>
      <c r="O60" s="12">
        <v>22</v>
      </c>
      <c r="P60" s="12">
        <v>1</v>
      </c>
      <c r="Q60" s="16">
        <f t="shared" si="2"/>
        <v>4.5454545454545459</v>
      </c>
      <c r="R60" s="12">
        <v>24</v>
      </c>
      <c r="S60" s="12">
        <v>6</v>
      </c>
      <c r="T60" s="16">
        <f t="shared" si="3"/>
        <v>25</v>
      </c>
      <c r="U60" s="12">
        <v>16</v>
      </c>
      <c r="V60" s="12">
        <v>7</v>
      </c>
      <c r="W60" s="17">
        <f t="shared" si="4"/>
        <v>43.75</v>
      </c>
      <c r="X60" s="12">
        <v>17</v>
      </c>
      <c r="Y60" s="6">
        <v>1</v>
      </c>
      <c r="Z60" s="17">
        <f t="shared" si="5"/>
        <v>5.882352941176471</v>
      </c>
    </row>
    <row r="61" spans="1:26" ht="18" x14ac:dyDescent="0.3">
      <c r="A61" s="2">
        <v>57</v>
      </c>
      <c r="B61" s="7" t="s">
        <v>59</v>
      </c>
      <c r="C61" s="12">
        <v>17</v>
      </c>
      <c r="D61" s="12">
        <v>17</v>
      </c>
      <c r="E61" s="12">
        <v>100</v>
      </c>
      <c r="F61" s="12">
        <v>23</v>
      </c>
      <c r="G61" s="12">
        <v>23</v>
      </c>
      <c r="H61" s="12">
        <v>100</v>
      </c>
      <c r="I61" s="12">
        <v>26</v>
      </c>
      <c r="J61" s="12">
        <v>22</v>
      </c>
      <c r="K61" s="16">
        <f t="shared" si="0"/>
        <v>84.615384615384613</v>
      </c>
      <c r="L61" s="12">
        <v>22</v>
      </c>
      <c r="M61" s="12">
        <v>17</v>
      </c>
      <c r="N61" s="16">
        <f t="shared" si="1"/>
        <v>77.272727272727266</v>
      </c>
      <c r="O61" s="12">
        <v>22</v>
      </c>
      <c r="P61" s="12">
        <v>16</v>
      </c>
      <c r="Q61" s="16">
        <f t="shared" si="2"/>
        <v>72.727272727272734</v>
      </c>
      <c r="R61" s="12">
        <v>24</v>
      </c>
      <c r="S61" s="12">
        <v>16</v>
      </c>
      <c r="T61" s="16">
        <f t="shared" si="3"/>
        <v>66.666666666666671</v>
      </c>
      <c r="U61" s="12">
        <v>16</v>
      </c>
      <c r="V61" s="12">
        <v>8</v>
      </c>
      <c r="W61" s="17">
        <f t="shared" si="4"/>
        <v>50</v>
      </c>
      <c r="X61" s="12">
        <v>17</v>
      </c>
      <c r="Y61" s="5">
        <v>8</v>
      </c>
      <c r="Z61" s="17">
        <f t="shared" si="5"/>
        <v>47.058823529411768</v>
      </c>
    </row>
    <row r="62" spans="1:26" ht="18" x14ac:dyDescent="0.3">
      <c r="A62" s="2">
        <v>58</v>
      </c>
      <c r="B62" s="7" t="s">
        <v>60</v>
      </c>
      <c r="C62" s="12">
        <v>17</v>
      </c>
      <c r="D62" s="12">
        <v>17</v>
      </c>
      <c r="E62" s="12">
        <v>100</v>
      </c>
      <c r="F62" s="12">
        <v>23</v>
      </c>
      <c r="G62" s="12">
        <v>23</v>
      </c>
      <c r="H62" s="12">
        <v>100</v>
      </c>
      <c r="I62" s="12">
        <v>26</v>
      </c>
      <c r="J62" s="12">
        <v>25</v>
      </c>
      <c r="K62" s="16">
        <f t="shared" si="0"/>
        <v>96.15384615384616</v>
      </c>
      <c r="L62" s="12">
        <v>22</v>
      </c>
      <c r="M62" s="12">
        <v>21</v>
      </c>
      <c r="N62" s="16">
        <f t="shared" si="1"/>
        <v>95.454545454545453</v>
      </c>
      <c r="O62" s="12">
        <v>22</v>
      </c>
      <c r="P62" s="12">
        <v>19</v>
      </c>
      <c r="Q62" s="16">
        <f t="shared" si="2"/>
        <v>86.36363636363636</v>
      </c>
      <c r="R62" s="12">
        <v>24</v>
      </c>
      <c r="S62" s="12">
        <v>22</v>
      </c>
      <c r="T62" s="16">
        <f t="shared" si="3"/>
        <v>91.666666666666671</v>
      </c>
      <c r="U62" s="12">
        <v>16</v>
      </c>
      <c r="V62" s="12">
        <v>12</v>
      </c>
      <c r="W62" s="17">
        <f t="shared" si="4"/>
        <v>75</v>
      </c>
      <c r="X62" s="12">
        <v>17</v>
      </c>
      <c r="Y62" s="6">
        <v>14</v>
      </c>
      <c r="Z62" s="17">
        <f t="shared" si="5"/>
        <v>82.352941176470594</v>
      </c>
    </row>
    <row r="63" spans="1:26" ht="31.2" x14ac:dyDescent="0.3">
      <c r="A63" s="2">
        <v>59</v>
      </c>
      <c r="B63" s="8" t="s">
        <v>61</v>
      </c>
      <c r="C63" s="12">
        <v>17</v>
      </c>
      <c r="D63" s="12">
        <v>17</v>
      </c>
      <c r="E63" s="12">
        <v>100</v>
      </c>
      <c r="F63" s="12">
        <v>23</v>
      </c>
      <c r="G63" s="12">
        <v>23</v>
      </c>
      <c r="H63" s="12">
        <v>100</v>
      </c>
      <c r="I63" s="12">
        <v>26</v>
      </c>
      <c r="J63" s="12">
        <v>26</v>
      </c>
      <c r="K63" s="16">
        <f t="shared" si="0"/>
        <v>100</v>
      </c>
      <c r="L63" s="12">
        <v>22</v>
      </c>
      <c r="M63" s="12">
        <v>22</v>
      </c>
      <c r="N63" s="16">
        <f t="shared" si="1"/>
        <v>100</v>
      </c>
      <c r="O63" s="12">
        <v>22</v>
      </c>
      <c r="P63" s="12">
        <v>20</v>
      </c>
      <c r="Q63" s="16">
        <f t="shared" si="2"/>
        <v>90.909090909090907</v>
      </c>
      <c r="R63" s="12">
        <v>24</v>
      </c>
      <c r="S63" s="12">
        <v>21</v>
      </c>
      <c r="T63" s="16">
        <f t="shared" si="3"/>
        <v>87.5</v>
      </c>
      <c r="U63" s="12">
        <v>16</v>
      </c>
      <c r="V63" s="12">
        <v>11</v>
      </c>
      <c r="W63" s="17">
        <f t="shared" si="4"/>
        <v>68.75</v>
      </c>
      <c r="X63" s="12">
        <v>17</v>
      </c>
      <c r="Y63" s="5">
        <v>17</v>
      </c>
      <c r="Z63" s="17">
        <f t="shared" si="5"/>
        <v>100</v>
      </c>
    </row>
    <row r="64" spans="1:26" ht="18" x14ac:dyDescent="0.3">
      <c r="A64" s="2">
        <v>60</v>
      </c>
      <c r="B64" s="9" t="s">
        <v>62</v>
      </c>
      <c r="C64" s="12">
        <v>17</v>
      </c>
      <c r="D64" s="12">
        <v>17</v>
      </c>
      <c r="E64" s="12">
        <v>100</v>
      </c>
      <c r="F64" s="12">
        <v>23</v>
      </c>
      <c r="G64" s="12">
        <v>23</v>
      </c>
      <c r="H64" s="12">
        <v>100</v>
      </c>
      <c r="I64" s="12">
        <v>26</v>
      </c>
      <c r="J64" s="12">
        <v>26</v>
      </c>
      <c r="K64" s="16">
        <f t="shared" si="0"/>
        <v>100</v>
      </c>
      <c r="L64" s="12">
        <v>22</v>
      </c>
      <c r="M64" s="12">
        <v>20</v>
      </c>
      <c r="N64" s="16">
        <f t="shared" si="1"/>
        <v>90.909090909090907</v>
      </c>
      <c r="O64" s="12">
        <v>22</v>
      </c>
      <c r="P64" s="12">
        <v>19</v>
      </c>
      <c r="Q64" s="16">
        <f t="shared" si="2"/>
        <v>86.36363636363636</v>
      </c>
      <c r="R64" s="12">
        <v>24</v>
      </c>
      <c r="S64" s="12">
        <v>20</v>
      </c>
      <c r="T64" s="16">
        <f t="shared" si="3"/>
        <v>83.333333333333329</v>
      </c>
      <c r="U64" s="12">
        <v>16</v>
      </c>
      <c r="V64" s="12">
        <v>14</v>
      </c>
      <c r="W64" s="17">
        <f t="shared" si="4"/>
        <v>87.5</v>
      </c>
      <c r="X64" s="12">
        <v>17</v>
      </c>
      <c r="Y64" s="6">
        <v>16</v>
      </c>
      <c r="Z64" s="17">
        <f t="shared" si="5"/>
        <v>94.117647058823536</v>
      </c>
    </row>
  </sheetData>
  <mergeCells count="10">
    <mergeCell ref="A3:D3"/>
    <mergeCell ref="A2:Z2"/>
    <mergeCell ref="A1:Z1"/>
    <mergeCell ref="X3:Z3"/>
    <mergeCell ref="I3:J3"/>
    <mergeCell ref="E3:G3"/>
    <mergeCell ref="L3:N3"/>
    <mergeCell ref="O3:Q3"/>
    <mergeCell ref="R3:T3"/>
    <mergeCell ref="U3:W3"/>
  </mergeCells>
  <pageMargins left="0.4" right="0.12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I57" sqref="I57"/>
    </sheetView>
  </sheetViews>
  <sheetFormatPr defaultColWidth="28.5546875" defaultRowHeight="14.4" x14ac:dyDescent="0.3"/>
  <cols>
    <col min="1" max="1" width="7.5546875" bestFit="1" customWidth="1"/>
    <col min="2" max="2" width="31.109375" bestFit="1" customWidth="1"/>
    <col min="3" max="3" width="8.5546875" customWidth="1"/>
    <col min="4" max="4" width="9.5546875" customWidth="1"/>
    <col min="5" max="5" width="12.109375" customWidth="1"/>
    <col min="6" max="6" width="13.44140625" customWidth="1"/>
    <col min="7" max="7" width="10" customWidth="1"/>
    <col min="8" max="8" width="12.44140625" customWidth="1"/>
  </cols>
  <sheetData>
    <row r="1" spans="1:8" s="1" customFormat="1" ht="62.25" customHeight="1" x14ac:dyDescent="0.25">
      <c r="A1" s="101" t="s">
        <v>0</v>
      </c>
      <c r="B1" s="101"/>
      <c r="C1" s="101"/>
      <c r="D1" s="101"/>
      <c r="E1" s="101"/>
      <c r="F1" s="101"/>
      <c r="G1" s="101"/>
      <c r="H1" s="101"/>
    </row>
    <row r="2" spans="1:8" s="1" customFormat="1" ht="26.25" x14ac:dyDescent="0.25">
      <c r="A2" s="102" t="s">
        <v>63</v>
      </c>
      <c r="B2" s="102"/>
      <c r="C2" s="102"/>
      <c r="D2" s="102"/>
      <c r="E2" s="102"/>
      <c r="F2" s="102"/>
      <c r="G2" s="102"/>
      <c r="H2" s="102"/>
    </row>
    <row r="3" spans="1:8" s="1" customFormat="1" ht="26.25" customHeight="1" x14ac:dyDescent="0.35">
      <c r="C3" s="98" t="s">
        <v>66</v>
      </c>
      <c r="D3" s="99"/>
      <c r="E3" s="18"/>
      <c r="F3" s="98" t="s">
        <v>68</v>
      </c>
      <c r="G3" s="99"/>
      <c r="H3" s="100"/>
    </row>
    <row r="4" spans="1:8" ht="30" x14ac:dyDescent="0.25">
      <c r="A4" s="19" t="s">
        <v>1</v>
      </c>
      <c r="B4" s="4" t="s">
        <v>2</v>
      </c>
      <c r="C4" s="3" t="s">
        <v>3</v>
      </c>
      <c r="D4" s="3" t="s">
        <v>4</v>
      </c>
      <c r="E4" s="3" t="s">
        <v>73</v>
      </c>
      <c r="F4" s="3" t="s">
        <v>3</v>
      </c>
      <c r="G4" s="3" t="s">
        <v>4</v>
      </c>
      <c r="H4" s="3" t="s">
        <v>73</v>
      </c>
    </row>
    <row r="5" spans="1:8" ht="18.75" x14ac:dyDescent="0.25">
      <c r="A5" s="10">
        <v>1</v>
      </c>
      <c r="B5" s="11" t="s">
        <v>5</v>
      </c>
      <c r="C5" s="12">
        <v>26</v>
      </c>
      <c r="D5" s="12">
        <v>25</v>
      </c>
      <c r="E5" s="16">
        <f>D5:D64*100/C5</f>
        <v>96.15384615384616</v>
      </c>
      <c r="F5" s="12">
        <v>22</v>
      </c>
      <c r="G5" s="12">
        <v>20</v>
      </c>
      <c r="H5" s="16">
        <f>G5:G64*100/22</f>
        <v>90.909090909090907</v>
      </c>
    </row>
    <row r="6" spans="1:8" ht="18.75" x14ac:dyDescent="0.25">
      <c r="A6" s="2">
        <v>2</v>
      </c>
      <c r="B6" s="7" t="s">
        <v>6</v>
      </c>
      <c r="C6" s="12">
        <v>26</v>
      </c>
      <c r="D6" s="12">
        <v>26</v>
      </c>
      <c r="E6" s="16">
        <f>D6:D64*100/C6</f>
        <v>100</v>
      </c>
      <c r="F6" s="12">
        <v>22</v>
      </c>
      <c r="G6" s="12">
        <v>20</v>
      </c>
      <c r="H6" s="16">
        <f>G6:G64*100/22</f>
        <v>90.909090909090907</v>
      </c>
    </row>
    <row r="7" spans="1:8" ht="18.75" x14ac:dyDescent="0.25">
      <c r="A7" s="2">
        <v>3</v>
      </c>
      <c r="B7" s="7" t="s">
        <v>7</v>
      </c>
      <c r="C7" s="12">
        <v>26</v>
      </c>
      <c r="D7" s="12">
        <v>26</v>
      </c>
      <c r="E7" s="16">
        <f t="shared" ref="E7:E64" si="0">D7:D66*100/C7</f>
        <v>100</v>
      </c>
      <c r="F7" s="12">
        <v>22</v>
      </c>
      <c r="G7" s="12">
        <v>15</v>
      </c>
      <c r="H7" s="16">
        <f t="shared" ref="H7:H64" si="1">G7:G66*100/22</f>
        <v>68.181818181818187</v>
      </c>
    </row>
    <row r="8" spans="1:8" ht="18.75" x14ac:dyDescent="0.25">
      <c r="A8" s="2">
        <v>4</v>
      </c>
      <c r="B8" s="7" t="s">
        <v>8</v>
      </c>
      <c r="C8" s="12">
        <v>26</v>
      </c>
      <c r="D8" s="12">
        <v>23</v>
      </c>
      <c r="E8" s="16">
        <f>D8:D67*100/C8</f>
        <v>88.461538461538467</v>
      </c>
      <c r="F8" s="12">
        <v>22</v>
      </c>
      <c r="G8" s="12">
        <v>19</v>
      </c>
      <c r="H8" s="16">
        <f t="shared" si="1"/>
        <v>86.36363636363636</v>
      </c>
    </row>
    <row r="9" spans="1:8" ht="18.75" x14ac:dyDescent="0.25">
      <c r="A9" s="2">
        <v>5</v>
      </c>
      <c r="B9" s="7" t="s">
        <v>9</v>
      </c>
      <c r="C9" s="12">
        <v>26</v>
      </c>
      <c r="D9" s="12">
        <v>23</v>
      </c>
      <c r="E9" s="16">
        <f t="shared" si="0"/>
        <v>88.461538461538467</v>
      </c>
      <c r="F9" s="12">
        <v>22</v>
      </c>
      <c r="G9" s="12">
        <v>15</v>
      </c>
      <c r="H9" s="16">
        <f t="shared" si="1"/>
        <v>68.181818181818187</v>
      </c>
    </row>
    <row r="10" spans="1:8" ht="18.75" x14ac:dyDescent="0.25">
      <c r="A10" s="2">
        <v>6</v>
      </c>
      <c r="B10" s="7" t="s">
        <v>10</v>
      </c>
      <c r="C10" s="12">
        <v>26</v>
      </c>
      <c r="D10" s="12">
        <v>24</v>
      </c>
      <c r="E10" s="16">
        <f t="shared" si="0"/>
        <v>92.307692307692307</v>
      </c>
      <c r="F10" s="12">
        <v>22</v>
      </c>
      <c r="G10" s="12">
        <v>13</v>
      </c>
      <c r="H10" s="16">
        <f t="shared" si="1"/>
        <v>59.090909090909093</v>
      </c>
    </row>
    <row r="11" spans="1:8" ht="18.75" x14ac:dyDescent="0.25">
      <c r="A11" s="2">
        <v>7</v>
      </c>
      <c r="B11" s="7" t="s">
        <v>11</v>
      </c>
      <c r="C11" s="12">
        <v>26</v>
      </c>
      <c r="D11" s="12">
        <v>23</v>
      </c>
      <c r="E11" s="16">
        <f t="shared" si="0"/>
        <v>88.461538461538467</v>
      </c>
      <c r="F11" s="12">
        <v>22</v>
      </c>
      <c r="G11" s="12">
        <v>17</v>
      </c>
      <c r="H11" s="16">
        <f t="shared" si="1"/>
        <v>77.272727272727266</v>
      </c>
    </row>
    <row r="12" spans="1:8" ht="18.75" x14ac:dyDescent="0.25">
      <c r="A12" s="2">
        <v>8</v>
      </c>
      <c r="B12" s="7" t="s">
        <v>12</v>
      </c>
      <c r="C12" s="12">
        <v>26</v>
      </c>
      <c r="D12" s="12">
        <v>17</v>
      </c>
      <c r="E12" s="16">
        <f>D12:D71*100/C12</f>
        <v>65.384615384615387</v>
      </c>
      <c r="F12" s="12">
        <v>22</v>
      </c>
      <c r="G12" s="12">
        <v>11</v>
      </c>
      <c r="H12" s="16">
        <f t="shared" si="1"/>
        <v>50</v>
      </c>
    </row>
    <row r="13" spans="1:8" ht="18.75" x14ac:dyDescent="0.25">
      <c r="A13" s="2">
        <v>9</v>
      </c>
      <c r="B13" s="7" t="s">
        <v>13</v>
      </c>
      <c r="C13" s="12">
        <v>26</v>
      </c>
      <c r="D13" s="12">
        <v>25</v>
      </c>
      <c r="E13" s="16">
        <f t="shared" si="0"/>
        <v>96.15384615384616</v>
      </c>
      <c r="F13" s="12">
        <v>22</v>
      </c>
      <c r="G13" s="12">
        <v>22</v>
      </c>
      <c r="H13" s="16">
        <f t="shared" si="1"/>
        <v>100</v>
      </c>
    </row>
    <row r="14" spans="1:8" ht="18.75" x14ac:dyDescent="0.25">
      <c r="A14" s="2">
        <v>10</v>
      </c>
      <c r="B14" s="7" t="s">
        <v>14</v>
      </c>
      <c r="C14" s="12">
        <v>26</v>
      </c>
      <c r="D14" s="12">
        <v>22</v>
      </c>
      <c r="E14" s="16">
        <f t="shared" si="0"/>
        <v>84.615384615384613</v>
      </c>
      <c r="F14" s="12">
        <v>22</v>
      </c>
      <c r="G14" s="12">
        <v>16</v>
      </c>
      <c r="H14" s="16">
        <f t="shared" si="1"/>
        <v>72.727272727272734</v>
      </c>
    </row>
    <row r="15" spans="1:8" ht="18.75" x14ac:dyDescent="0.25">
      <c r="A15" s="2">
        <v>11</v>
      </c>
      <c r="B15" s="7" t="s">
        <v>15</v>
      </c>
      <c r="C15" s="12">
        <v>26</v>
      </c>
      <c r="D15" s="12">
        <v>25</v>
      </c>
      <c r="E15" s="16">
        <f t="shared" si="0"/>
        <v>96.15384615384616</v>
      </c>
      <c r="F15" s="12">
        <v>22</v>
      </c>
      <c r="G15" s="12">
        <v>16</v>
      </c>
      <c r="H15" s="16">
        <f t="shared" si="1"/>
        <v>72.727272727272734</v>
      </c>
    </row>
    <row r="16" spans="1:8" ht="18.75" x14ac:dyDescent="0.25">
      <c r="A16" s="2">
        <v>12</v>
      </c>
      <c r="B16" s="7" t="s">
        <v>16</v>
      </c>
      <c r="C16" s="12">
        <v>26</v>
      </c>
      <c r="D16" s="12">
        <v>23</v>
      </c>
      <c r="E16" s="16">
        <f t="shared" si="0"/>
        <v>88.461538461538467</v>
      </c>
      <c r="F16" s="12">
        <v>22</v>
      </c>
      <c r="G16" s="12">
        <v>14</v>
      </c>
      <c r="H16" s="16">
        <f t="shared" si="1"/>
        <v>63.636363636363633</v>
      </c>
    </row>
    <row r="17" spans="1:8" ht="18.75" x14ac:dyDescent="0.25">
      <c r="A17" s="2">
        <v>13</v>
      </c>
      <c r="B17" s="7" t="s">
        <v>17</v>
      </c>
      <c r="C17" s="12">
        <v>26</v>
      </c>
      <c r="D17" s="12">
        <v>25</v>
      </c>
      <c r="E17" s="16">
        <f t="shared" si="0"/>
        <v>96.15384615384616</v>
      </c>
      <c r="F17" s="12">
        <v>22</v>
      </c>
      <c r="G17" s="12">
        <v>21</v>
      </c>
      <c r="H17" s="16">
        <f t="shared" si="1"/>
        <v>95.454545454545453</v>
      </c>
    </row>
    <row r="18" spans="1:8" ht="18.75" x14ac:dyDescent="0.25">
      <c r="A18" s="2">
        <v>14</v>
      </c>
      <c r="B18" s="7" t="s">
        <v>18</v>
      </c>
      <c r="C18" s="12">
        <v>26</v>
      </c>
      <c r="D18" s="12">
        <v>25</v>
      </c>
      <c r="E18" s="16">
        <f t="shared" si="0"/>
        <v>96.15384615384616</v>
      </c>
      <c r="F18" s="12">
        <v>22</v>
      </c>
      <c r="G18" s="12">
        <v>21</v>
      </c>
      <c r="H18" s="16">
        <f t="shared" si="1"/>
        <v>95.454545454545453</v>
      </c>
    </row>
    <row r="19" spans="1:8" ht="18.75" x14ac:dyDescent="0.25">
      <c r="A19" s="2">
        <v>15</v>
      </c>
      <c r="B19" s="7" t="s">
        <v>19</v>
      </c>
      <c r="C19" s="12">
        <v>26</v>
      </c>
      <c r="D19" s="12">
        <v>18</v>
      </c>
      <c r="E19" s="16">
        <f t="shared" si="0"/>
        <v>69.230769230769226</v>
      </c>
      <c r="F19" s="12">
        <v>22</v>
      </c>
      <c r="G19" s="12">
        <v>10</v>
      </c>
      <c r="H19" s="16">
        <f t="shared" si="1"/>
        <v>45.454545454545453</v>
      </c>
    </row>
    <row r="20" spans="1:8" ht="18.75" x14ac:dyDescent="0.25">
      <c r="A20" s="2">
        <v>16</v>
      </c>
      <c r="B20" s="7" t="s">
        <v>71</v>
      </c>
      <c r="C20" s="12">
        <v>26</v>
      </c>
      <c r="D20" s="12">
        <v>25</v>
      </c>
      <c r="E20" s="16">
        <f t="shared" si="0"/>
        <v>96.15384615384616</v>
      </c>
      <c r="F20" s="12">
        <v>22</v>
      </c>
      <c r="G20" s="12">
        <v>21</v>
      </c>
      <c r="H20" s="16">
        <f t="shared" si="1"/>
        <v>95.454545454545453</v>
      </c>
    </row>
    <row r="21" spans="1:8" ht="18" x14ac:dyDescent="0.3">
      <c r="A21" s="2">
        <v>17</v>
      </c>
      <c r="B21" s="7" t="s">
        <v>20</v>
      </c>
      <c r="C21" s="12">
        <v>26</v>
      </c>
      <c r="D21" s="12">
        <v>26</v>
      </c>
      <c r="E21" s="16">
        <f t="shared" si="0"/>
        <v>100</v>
      </c>
      <c r="F21" s="12">
        <v>22</v>
      </c>
      <c r="G21" s="12">
        <v>22</v>
      </c>
      <c r="H21" s="16">
        <f t="shared" si="1"/>
        <v>100</v>
      </c>
    </row>
    <row r="22" spans="1:8" ht="18" x14ac:dyDescent="0.3">
      <c r="A22" s="2">
        <v>18</v>
      </c>
      <c r="B22" s="7" t="s">
        <v>21</v>
      </c>
      <c r="C22" s="12">
        <v>26</v>
      </c>
      <c r="D22" s="12">
        <v>24</v>
      </c>
      <c r="E22" s="16">
        <f t="shared" si="0"/>
        <v>92.307692307692307</v>
      </c>
      <c r="F22" s="12">
        <v>22</v>
      </c>
      <c r="G22" s="12">
        <v>22</v>
      </c>
      <c r="H22" s="16">
        <f t="shared" si="1"/>
        <v>100</v>
      </c>
    </row>
    <row r="23" spans="1:8" ht="18" x14ac:dyDescent="0.3">
      <c r="A23" s="2">
        <v>19</v>
      </c>
      <c r="B23" s="7" t="s">
        <v>22</v>
      </c>
      <c r="C23" s="12">
        <v>26</v>
      </c>
      <c r="D23" s="12">
        <v>20</v>
      </c>
      <c r="E23" s="16">
        <f t="shared" si="0"/>
        <v>76.92307692307692</v>
      </c>
      <c r="F23" s="12">
        <v>22</v>
      </c>
      <c r="G23" s="12">
        <v>6</v>
      </c>
      <c r="H23" s="16">
        <f t="shared" si="1"/>
        <v>27.272727272727273</v>
      </c>
    </row>
    <row r="24" spans="1:8" ht="18" x14ac:dyDescent="0.3">
      <c r="A24" s="2">
        <v>20</v>
      </c>
      <c r="B24" s="7" t="s">
        <v>23</v>
      </c>
      <c r="C24" s="12">
        <v>26</v>
      </c>
      <c r="D24" s="12">
        <v>25</v>
      </c>
      <c r="E24" s="16">
        <f t="shared" si="0"/>
        <v>96.15384615384616</v>
      </c>
      <c r="F24" s="12">
        <v>22</v>
      </c>
      <c r="G24" s="12">
        <v>17</v>
      </c>
      <c r="H24" s="16">
        <f t="shared" si="1"/>
        <v>77.272727272727266</v>
      </c>
    </row>
    <row r="25" spans="1:8" ht="18" x14ac:dyDescent="0.3">
      <c r="A25" s="2">
        <v>21</v>
      </c>
      <c r="B25" s="7" t="s">
        <v>24</v>
      </c>
      <c r="C25" s="12">
        <v>26</v>
      </c>
      <c r="D25" s="12">
        <v>26</v>
      </c>
      <c r="E25" s="16">
        <f t="shared" si="0"/>
        <v>100</v>
      </c>
      <c r="F25" s="12">
        <v>22</v>
      </c>
      <c r="G25" s="12">
        <v>21</v>
      </c>
      <c r="H25" s="16">
        <f t="shared" si="1"/>
        <v>95.454545454545453</v>
      </c>
    </row>
    <row r="26" spans="1:8" ht="18" x14ac:dyDescent="0.3">
      <c r="A26" s="2">
        <v>22</v>
      </c>
      <c r="B26" s="7" t="s">
        <v>25</v>
      </c>
      <c r="C26" s="12">
        <v>26</v>
      </c>
      <c r="D26" s="12">
        <v>24</v>
      </c>
      <c r="E26" s="16">
        <f t="shared" si="0"/>
        <v>92.307692307692307</v>
      </c>
      <c r="F26" s="12">
        <v>22</v>
      </c>
      <c r="G26" s="12">
        <v>21</v>
      </c>
      <c r="H26" s="16">
        <f t="shared" si="1"/>
        <v>95.454545454545453</v>
      </c>
    </row>
    <row r="27" spans="1:8" ht="18" x14ac:dyDescent="0.3">
      <c r="A27" s="2">
        <v>23</v>
      </c>
      <c r="B27" s="7" t="s">
        <v>26</v>
      </c>
      <c r="C27" s="12">
        <v>26</v>
      </c>
      <c r="D27" s="12">
        <v>25</v>
      </c>
      <c r="E27" s="16">
        <f t="shared" si="0"/>
        <v>96.15384615384616</v>
      </c>
      <c r="F27" s="12">
        <v>22</v>
      </c>
      <c r="G27" s="12">
        <v>16</v>
      </c>
      <c r="H27" s="16">
        <f t="shared" si="1"/>
        <v>72.727272727272734</v>
      </c>
    </row>
    <row r="28" spans="1:8" ht="18" x14ac:dyDescent="0.3">
      <c r="A28" s="2">
        <v>24</v>
      </c>
      <c r="B28" s="7" t="s">
        <v>27</v>
      </c>
      <c r="C28" s="12">
        <v>26</v>
      </c>
      <c r="D28" s="12">
        <v>25</v>
      </c>
      <c r="E28" s="16">
        <f t="shared" si="0"/>
        <v>96.15384615384616</v>
      </c>
      <c r="F28" s="12">
        <v>22</v>
      </c>
      <c r="G28" s="12">
        <v>17</v>
      </c>
      <c r="H28" s="16">
        <f t="shared" si="1"/>
        <v>77.272727272727266</v>
      </c>
    </row>
    <row r="29" spans="1:8" ht="18" x14ac:dyDescent="0.3">
      <c r="A29" s="2">
        <v>25</v>
      </c>
      <c r="B29" s="7" t="s">
        <v>28</v>
      </c>
      <c r="C29" s="12">
        <v>26</v>
      </c>
      <c r="D29" s="12">
        <v>24</v>
      </c>
      <c r="E29" s="16">
        <f t="shared" si="0"/>
        <v>92.307692307692307</v>
      </c>
      <c r="F29" s="12">
        <v>22</v>
      </c>
      <c r="G29" s="12">
        <v>14</v>
      </c>
      <c r="H29" s="16">
        <f t="shared" si="1"/>
        <v>63.636363636363633</v>
      </c>
    </row>
    <row r="30" spans="1:8" ht="18" x14ac:dyDescent="0.3">
      <c r="A30" s="2">
        <v>26</v>
      </c>
      <c r="B30" s="7" t="s">
        <v>29</v>
      </c>
      <c r="C30" s="12">
        <v>26</v>
      </c>
      <c r="D30" s="12">
        <v>26</v>
      </c>
      <c r="E30" s="16">
        <f t="shared" si="0"/>
        <v>100</v>
      </c>
      <c r="F30" s="12">
        <v>22</v>
      </c>
      <c r="G30" s="12">
        <v>22</v>
      </c>
      <c r="H30" s="16">
        <f t="shared" si="1"/>
        <v>100</v>
      </c>
    </row>
    <row r="31" spans="1:8" ht="18" x14ac:dyDescent="0.3">
      <c r="A31" s="2">
        <v>27</v>
      </c>
      <c r="B31" s="7" t="s">
        <v>30</v>
      </c>
      <c r="C31" s="12">
        <v>26</v>
      </c>
      <c r="D31" s="12">
        <v>22</v>
      </c>
      <c r="E31" s="16">
        <f t="shared" si="0"/>
        <v>84.615384615384613</v>
      </c>
      <c r="F31" s="12">
        <v>22</v>
      </c>
      <c r="G31" s="12">
        <v>15</v>
      </c>
      <c r="H31" s="16">
        <f t="shared" si="1"/>
        <v>68.181818181818187</v>
      </c>
    </row>
    <row r="32" spans="1:8" ht="18" x14ac:dyDescent="0.3">
      <c r="A32" s="2">
        <v>28</v>
      </c>
      <c r="B32" s="7" t="s">
        <v>31</v>
      </c>
      <c r="C32" s="12">
        <v>26</v>
      </c>
      <c r="D32" s="12">
        <v>24</v>
      </c>
      <c r="E32" s="16">
        <f t="shared" si="0"/>
        <v>92.307692307692307</v>
      </c>
      <c r="F32" s="12">
        <v>22</v>
      </c>
      <c r="G32" s="12">
        <v>21</v>
      </c>
      <c r="H32" s="16">
        <f t="shared" si="1"/>
        <v>95.454545454545453</v>
      </c>
    </row>
    <row r="33" spans="1:8" ht="18" x14ac:dyDescent="0.3">
      <c r="A33" s="2">
        <v>29</v>
      </c>
      <c r="B33" s="7" t="s">
        <v>32</v>
      </c>
      <c r="C33" s="12">
        <v>26</v>
      </c>
      <c r="D33" s="12">
        <v>26</v>
      </c>
      <c r="E33" s="16">
        <f t="shared" si="0"/>
        <v>100</v>
      </c>
      <c r="F33" s="12">
        <v>22</v>
      </c>
      <c r="G33" s="12">
        <v>22</v>
      </c>
      <c r="H33" s="16">
        <f t="shared" si="1"/>
        <v>100</v>
      </c>
    </row>
    <row r="34" spans="1:8" ht="18" x14ac:dyDescent="0.3">
      <c r="A34" s="2">
        <v>30</v>
      </c>
      <c r="B34" s="7" t="s">
        <v>33</v>
      </c>
      <c r="C34" s="12">
        <v>26</v>
      </c>
      <c r="D34" s="12">
        <v>26</v>
      </c>
      <c r="E34" s="16">
        <f t="shared" si="0"/>
        <v>100</v>
      </c>
      <c r="F34" s="12">
        <v>22</v>
      </c>
      <c r="G34" s="12">
        <v>20</v>
      </c>
      <c r="H34" s="16">
        <f t="shared" si="1"/>
        <v>90.909090909090907</v>
      </c>
    </row>
    <row r="35" spans="1:8" ht="18" x14ac:dyDescent="0.3">
      <c r="A35" s="2">
        <v>31</v>
      </c>
      <c r="B35" s="7" t="s">
        <v>34</v>
      </c>
      <c r="C35" s="12">
        <v>26</v>
      </c>
      <c r="D35" s="12">
        <v>25</v>
      </c>
      <c r="E35" s="16">
        <f t="shared" si="0"/>
        <v>96.15384615384616</v>
      </c>
      <c r="F35" s="12">
        <v>22</v>
      </c>
      <c r="G35" s="12">
        <v>19</v>
      </c>
      <c r="H35" s="16">
        <f t="shared" si="1"/>
        <v>86.36363636363636</v>
      </c>
    </row>
    <row r="36" spans="1:8" ht="18" x14ac:dyDescent="0.3">
      <c r="A36" s="2">
        <v>32</v>
      </c>
      <c r="B36" s="7" t="s">
        <v>35</v>
      </c>
      <c r="C36" s="12">
        <v>26</v>
      </c>
      <c r="D36" s="12">
        <v>25</v>
      </c>
      <c r="E36" s="16">
        <f t="shared" si="0"/>
        <v>96.15384615384616</v>
      </c>
      <c r="F36" s="12">
        <v>22</v>
      </c>
      <c r="G36" s="12">
        <v>19</v>
      </c>
      <c r="H36" s="16">
        <f t="shared" si="1"/>
        <v>86.36363636363636</v>
      </c>
    </row>
    <row r="37" spans="1:8" ht="18" x14ac:dyDescent="0.3">
      <c r="A37" s="2">
        <v>33</v>
      </c>
      <c r="B37" s="7" t="s">
        <v>36</v>
      </c>
      <c r="C37" s="12">
        <v>26</v>
      </c>
      <c r="D37" s="12">
        <v>26</v>
      </c>
      <c r="E37" s="16">
        <f t="shared" si="0"/>
        <v>100</v>
      </c>
      <c r="F37" s="12">
        <v>22</v>
      </c>
      <c r="G37" s="12">
        <v>17</v>
      </c>
      <c r="H37" s="16">
        <f t="shared" si="1"/>
        <v>77.272727272727266</v>
      </c>
    </row>
    <row r="38" spans="1:8" ht="18" x14ac:dyDescent="0.3">
      <c r="A38" s="2">
        <v>34</v>
      </c>
      <c r="B38" s="7" t="s">
        <v>37</v>
      </c>
      <c r="C38" s="12">
        <v>26</v>
      </c>
      <c r="D38" s="12">
        <v>23</v>
      </c>
      <c r="E38" s="16">
        <f t="shared" si="0"/>
        <v>88.461538461538467</v>
      </c>
      <c r="F38" s="12">
        <v>22</v>
      </c>
      <c r="G38" s="12">
        <v>18</v>
      </c>
      <c r="H38" s="16">
        <f t="shared" si="1"/>
        <v>81.818181818181813</v>
      </c>
    </row>
    <row r="39" spans="1:8" ht="18" x14ac:dyDescent="0.3">
      <c r="A39" s="2">
        <v>35</v>
      </c>
      <c r="B39" s="7" t="s">
        <v>67</v>
      </c>
      <c r="C39" s="12">
        <v>26</v>
      </c>
      <c r="D39" s="12">
        <v>25</v>
      </c>
      <c r="E39" s="16">
        <f t="shared" si="0"/>
        <v>96.15384615384616</v>
      </c>
      <c r="F39" s="12">
        <v>22</v>
      </c>
      <c r="G39" s="12">
        <v>22</v>
      </c>
      <c r="H39" s="16">
        <f t="shared" si="1"/>
        <v>100</v>
      </c>
    </row>
    <row r="40" spans="1:8" ht="18" x14ac:dyDescent="0.3">
      <c r="A40" s="2">
        <v>36</v>
      </c>
      <c r="B40" s="7" t="s">
        <v>38</v>
      </c>
      <c r="C40" s="12">
        <v>26</v>
      </c>
      <c r="D40" s="12">
        <v>25</v>
      </c>
      <c r="E40" s="16">
        <f t="shared" si="0"/>
        <v>96.15384615384616</v>
      </c>
      <c r="F40" s="12">
        <v>22</v>
      </c>
      <c r="G40" s="12">
        <v>17</v>
      </c>
      <c r="H40" s="16">
        <f t="shared" si="1"/>
        <v>77.272727272727266</v>
      </c>
    </row>
    <row r="41" spans="1:8" ht="18" x14ac:dyDescent="0.3">
      <c r="A41" s="2">
        <v>37</v>
      </c>
      <c r="B41" s="7" t="s">
        <v>39</v>
      </c>
      <c r="C41" s="12">
        <v>26</v>
      </c>
      <c r="D41" s="12">
        <v>26</v>
      </c>
      <c r="E41" s="16">
        <f t="shared" si="0"/>
        <v>100</v>
      </c>
      <c r="F41" s="12">
        <v>22</v>
      </c>
      <c r="G41" s="12">
        <v>22</v>
      </c>
      <c r="H41" s="16">
        <f t="shared" si="1"/>
        <v>100</v>
      </c>
    </row>
    <row r="42" spans="1:8" ht="18" x14ac:dyDescent="0.3">
      <c r="A42" s="2">
        <v>38</v>
      </c>
      <c r="B42" s="7" t="s">
        <v>40</v>
      </c>
      <c r="C42" s="12">
        <v>26</v>
      </c>
      <c r="D42" s="12">
        <v>26</v>
      </c>
      <c r="E42" s="16">
        <f t="shared" si="0"/>
        <v>100</v>
      </c>
      <c r="F42" s="12">
        <v>22</v>
      </c>
      <c r="G42" s="12">
        <v>21</v>
      </c>
      <c r="H42" s="16">
        <f t="shared" si="1"/>
        <v>95.454545454545453</v>
      </c>
    </row>
    <row r="43" spans="1:8" ht="18" x14ac:dyDescent="0.3">
      <c r="A43" s="2">
        <v>39</v>
      </c>
      <c r="B43" s="7" t="s">
        <v>41</v>
      </c>
      <c r="C43" s="12">
        <v>26</v>
      </c>
      <c r="D43" s="12">
        <v>26</v>
      </c>
      <c r="E43" s="16">
        <f t="shared" si="0"/>
        <v>100</v>
      </c>
      <c r="F43" s="12">
        <v>22</v>
      </c>
      <c r="G43" s="12">
        <v>17</v>
      </c>
      <c r="H43" s="16">
        <f t="shared" si="1"/>
        <v>77.272727272727266</v>
      </c>
    </row>
    <row r="44" spans="1:8" ht="18" x14ac:dyDescent="0.3">
      <c r="A44" s="2">
        <v>40</v>
      </c>
      <c r="B44" s="7" t="s">
        <v>42</v>
      </c>
      <c r="C44" s="12">
        <v>26</v>
      </c>
      <c r="D44" s="12">
        <v>24</v>
      </c>
      <c r="E44" s="16">
        <f t="shared" si="0"/>
        <v>92.307692307692307</v>
      </c>
      <c r="F44" s="12">
        <v>22</v>
      </c>
      <c r="G44" s="12">
        <v>18</v>
      </c>
      <c r="H44" s="16">
        <f t="shared" si="1"/>
        <v>81.818181818181813</v>
      </c>
    </row>
    <row r="45" spans="1:8" ht="18" x14ac:dyDescent="0.3">
      <c r="A45" s="2">
        <v>41</v>
      </c>
      <c r="B45" s="7" t="s">
        <v>43</v>
      </c>
      <c r="C45" s="12">
        <v>26</v>
      </c>
      <c r="D45" s="12">
        <v>26</v>
      </c>
      <c r="E45" s="16">
        <f t="shared" si="0"/>
        <v>100</v>
      </c>
      <c r="F45" s="12">
        <v>22</v>
      </c>
      <c r="G45" s="12">
        <v>18</v>
      </c>
      <c r="H45" s="16">
        <f t="shared" si="1"/>
        <v>81.818181818181813</v>
      </c>
    </row>
    <row r="46" spans="1:8" ht="18" x14ac:dyDescent="0.3">
      <c r="A46" s="2">
        <v>42</v>
      </c>
      <c r="B46" s="7" t="s">
        <v>44</v>
      </c>
      <c r="C46" s="12">
        <v>26</v>
      </c>
      <c r="D46" s="12">
        <v>26</v>
      </c>
      <c r="E46" s="16">
        <f t="shared" si="0"/>
        <v>100</v>
      </c>
      <c r="F46" s="12">
        <v>22</v>
      </c>
      <c r="G46" s="12">
        <v>21</v>
      </c>
      <c r="H46" s="16">
        <f t="shared" si="1"/>
        <v>95.454545454545453</v>
      </c>
    </row>
    <row r="47" spans="1:8" ht="18" x14ac:dyDescent="0.3">
      <c r="A47" s="2">
        <v>43</v>
      </c>
      <c r="B47" s="7" t="s">
        <v>45</v>
      </c>
      <c r="C47" s="12">
        <v>26</v>
      </c>
      <c r="D47" s="12">
        <v>24</v>
      </c>
      <c r="E47" s="16">
        <f t="shared" si="0"/>
        <v>92.307692307692307</v>
      </c>
      <c r="F47" s="12">
        <v>22</v>
      </c>
      <c r="G47" s="12">
        <v>19</v>
      </c>
      <c r="H47" s="16">
        <f t="shared" si="1"/>
        <v>86.36363636363636</v>
      </c>
    </row>
    <row r="48" spans="1:8" ht="18" x14ac:dyDescent="0.3">
      <c r="A48" s="2">
        <v>44</v>
      </c>
      <c r="B48" s="7" t="s">
        <v>46</v>
      </c>
      <c r="C48" s="12">
        <v>26</v>
      </c>
      <c r="D48" s="12">
        <v>23</v>
      </c>
      <c r="E48" s="16">
        <f t="shared" si="0"/>
        <v>88.461538461538467</v>
      </c>
      <c r="F48" s="12">
        <v>22</v>
      </c>
      <c r="G48" s="12">
        <v>16</v>
      </c>
      <c r="H48" s="16">
        <f t="shared" si="1"/>
        <v>72.727272727272734</v>
      </c>
    </row>
    <row r="49" spans="1:8" ht="18" x14ac:dyDescent="0.3">
      <c r="A49" s="2">
        <v>45</v>
      </c>
      <c r="B49" s="7" t="s">
        <v>47</v>
      </c>
      <c r="C49" s="12">
        <v>26</v>
      </c>
      <c r="D49" s="12">
        <v>23</v>
      </c>
      <c r="E49" s="16">
        <f t="shared" si="0"/>
        <v>88.461538461538467</v>
      </c>
      <c r="F49" s="12">
        <v>22</v>
      </c>
      <c r="G49" s="12">
        <v>19</v>
      </c>
      <c r="H49" s="16">
        <f t="shared" si="1"/>
        <v>86.36363636363636</v>
      </c>
    </row>
    <row r="50" spans="1:8" ht="18" x14ac:dyDescent="0.3">
      <c r="A50" s="2">
        <v>46</v>
      </c>
      <c r="B50" s="7" t="s">
        <v>48</v>
      </c>
      <c r="C50" s="12">
        <v>26</v>
      </c>
      <c r="D50" s="12">
        <v>24</v>
      </c>
      <c r="E50" s="16">
        <f t="shared" si="0"/>
        <v>92.307692307692307</v>
      </c>
      <c r="F50" s="12">
        <v>22</v>
      </c>
      <c r="G50" s="12">
        <v>20</v>
      </c>
      <c r="H50" s="16">
        <f t="shared" si="1"/>
        <v>90.909090909090907</v>
      </c>
    </row>
    <row r="51" spans="1:8" ht="18" x14ac:dyDescent="0.3">
      <c r="A51" s="2">
        <v>47</v>
      </c>
      <c r="B51" s="7" t="s">
        <v>49</v>
      </c>
      <c r="C51" s="12">
        <v>26</v>
      </c>
      <c r="D51" s="12">
        <v>25</v>
      </c>
      <c r="E51" s="16">
        <f t="shared" si="0"/>
        <v>96.15384615384616</v>
      </c>
      <c r="F51" s="12">
        <v>22</v>
      </c>
      <c r="G51" s="12">
        <v>20</v>
      </c>
      <c r="H51" s="16">
        <f t="shared" si="1"/>
        <v>90.909090909090907</v>
      </c>
    </row>
    <row r="52" spans="1:8" ht="18" x14ac:dyDescent="0.3">
      <c r="A52" s="2">
        <v>48</v>
      </c>
      <c r="B52" s="7" t="s">
        <v>50</v>
      </c>
      <c r="C52" s="12">
        <v>26</v>
      </c>
      <c r="D52" s="12">
        <v>21</v>
      </c>
      <c r="E52" s="16">
        <f t="shared" si="0"/>
        <v>80.769230769230774</v>
      </c>
      <c r="F52" s="12">
        <v>22</v>
      </c>
      <c r="G52" s="12">
        <v>17</v>
      </c>
      <c r="H52" s="16">
        <f t="shared" si="1"/>
        <v>77.272727272727266</v>
      </c>
    </row>
    <row r="53" spans="1:8" ht="18" x14ac:dyDescent="0.3">
      <c r="A53" s="2">
        <v>49</v>
      </c>
      <c r="B53" s="7" t="s">
        <v>51</v>
      </c>
      <c r="C53" s="12">
        <v>26</v>
      </c>
      <c r="D53" s="12">
        <v>21</v>
      </c>
      <c r="E53" s="16">
        <f t="shared" si="0"/>
        <v>80.769230769230774</v>
      </c>
      <c r="F53" s="12">
        <v>22</v>
      </c>
      <c r="G53" s="12">
        <v>16</v>
      </c>
      <c r="H53" s="16">
        <f t="shared" si="1"/>
        <v>72.727272727272734</v>
      </c>
    </row>
    <row r="54" spans="1:8" ht="18" x14ac:dyDescent="0.3">
      <c r="A54" s="2">
        <v>50</v>
      </c>
      <c r="B54" s="7" t="s">
        <v>52</v>
      </c>
      <c r="C54" s="12">
        <v>26</v>
      </c>
      <c r="D54" s="12">
        <v>25</v>
      </c>
      <c r="E54" s="16">
        <f t="shared" si="0"/>
        <v>96.15384615384616</v>
      </c>
      <c r="F54" s="12">
        <v>22</v>
      </c>
      <c r="G54" s="12">
        <v>7</v>
      </c>
      <c r="H54" s="16">
        <f t="shared" si="1"/>
        <v>31.818181818181817</v>
      </c>
    </row>
    <row r="55" spans="1:8" ht="18" x14ac:dyDescent="0.3">
      <c r="A55" s="2">
        <v>51</v>
      </c>
      <c r="B55" s="7" t="s">
        <v>53</v>
      </c>
      <c r="C55" s="12">
        <v>26</v>
      </c>
      <c r="D55" s="12">
        <v>26</v>
      </c>
      <c r="E55" s="16">
        <f t="shared" si="0"/>
        <v>100</v>
      </c>
      <c r="F55" s="12">
        <v>22</v>
      </c>
      <c r="G55" s="12">
        <v>21</v>
      </c>
      <c r="H55" s="16">
        <f t="shared" si="1"/>
        <v>95.454545454545453</v>
      </c>
    </row>
    <row r="56" spans="1:8" ht="18" x14ac:dyDescent="0.3">
      <c r="A56" s="2">
        <v>52</v>
      </c>
      <c r="B56" s="7" t="s">
        <v>54</v>
      </c>
      <c r="C56" s="12">
        <v>26</v>
      </c>
      <c r="D56" s="12">
        <v>23</v>
      </c>
      <c r="E56" s="16">
        <f t="shared" si="0"/>
        <v>88.461538461538467</v>
      </c>
      <c r="F56" s="12">
        <v>22</v>
      </c>
      <c r="G56" s="12">
        <v>20</v>
      </c>
      <c r="H56" s="16">
        <f t="shared" si="1"/>
        <v>90.909090909090907</v>
      </c>
    </row>
    <row r="57" spans="1:8" ht="18" x14ac:dyDescent="0.3">
      <c r="A57" s="2">
        <v>53</v>
      </c>
      <c r="B57" s="7" t="s">
        <v>55</v>
      </c>
      <c r="C57" s="12">
        <v>26</v>
      </c>
      <c r="D57" s="12">
        <v>19</v>
      </c>
      <c r="E57" s="16">
        <f t="shared" si="0"/>
        <v>73.07692307692308</v>
      </c>
      <c r="F57" s="12">
        <v>22</v>
      </c>
      <c r="G57" s="12">
        <v>18</v>
      </c>
      <c r="H57" s="16">
        <f t="shared" si="1"/>
        <v>81.818181818181813</v>
      </c>
    </row>
    <row r="58" spans="1:8" ht="18" x14ac:dyDescent="0.3">
      <c r="A58" s="2">
        <v>54</v>
      </c>
      <c r="B58" s="7" t="s">
        <v>56</v>
      </c>
      <c r="C58" s="12">
        <v>26</v>
      </c>
      <c r="D58" s="12">
        <v>26</v>
      </c>
      <c r="E58" s="16">
        <f t="shared" si="0"/>
        <v>100</v>
      </c>
      <c r="F58" s="12">
        <v>22</v>
      </c>
      <c r="G58" s="12">
        <v>21</v>
      </c>
      <c r="H58" s="16">
        <f t="shared" si="1"/>
        <v>95.454545454545453</v>
      </c>
    </row>
    <row r="59" spans="1:8" ht="18" x14ac:dyDescent="0.3">
      <c r="A59" s="2">
        <v>55</v>
      </c>
      <c r="B59" s="7" t="s">
        <v>57</v>
      </c>
      <c r="C59" s="12">
        <v>26</v>
      </c>
      <c r="D59" s="12">
        <v>25</v>
      </c>
      <c r="E59" s="16">
        <f t="shared" si="0"/>
        <v>96.15384615384616</v>
      </c>
      <c r="F59" s="12">
        <v>22</v>
      </c>
      <c r="G59" s="12">
        <v>22</v>
      </c>
      <c r="H59" s="16">
        <f t="shared" si="1"/>
        <v>100</v>
      </c>
    </row>
    <row r="60" spans="1:8" ht="18" x14ac:dyDescent="0.3">
      <c r="A60" s="2">
        <v>56</v>
      </c>
      <c r="B60" s="7" t="s">
        <v>58</v>
      </c>
      <c r="C60" s="12">
        <v>26</v>
      </c>
      <c r="D60" s="12">
        <v>13</v>
      </c>
      <c r="E60" s="16">
        <f t="shared" si="0"/>
        <v>50</v>
      </c>
      <c r="F60" s="12">
        <v>22</v>
      </c>
      <c r="G60" s="12">
        <v>3</v>
      </c>
      <c r="H60" s="16">
        <f t="shared" si="1"/>
        <v>13.636363636363637</v>
      </c>
    </row>
    <row r="61" spans="1:8" ht="18" x14ac:dyDescent="0.3">
      <c r="A61" s="2">
        <v>57</v>
      </c>
      <c r="B61" s="7" t="s">
        <v>59</v>
      </c>
      <c r="C61" s="12">
        <v>26</v>
      </c>
      <c r="D61" s="12">
        <v>22</v>
      </c>
      <c r="E61" s="16">
        <f t="shared" si="0"/>
        <v>84.615384615384613</v>
      </c>
      <c r="F61" s="12">
        <v>22</v>
      </c>
      <c r="G61" s="12">
        <v>17</v>
      </c>
      <c r="H61" s="16">
        <f t="shared" si="1"/>
        <v>77.272727272727266</v>
      </c>
    </row>
    <row r="62" spans="1:8" ht="18" x14ac:dyDescent="0.3">
      <c r="A62" s="2">
        <v>58</v>
      </c>
      <c r="B62" s="7" t="s">
        <v>60</v>
      </c>
      <c r="C62" s="12">
        <v>26</v>
      </c>
      <c r="D62" s="12">
        <v>25</v>
      </c>
      <c r="E62" s="16">
        <f t="shared" si="0"/>
        <v>96.15384615384616</v>
      </c>
      <c r="F62" s="12">
        <v>22</v>
      </c>
      <c r="G62" s="12">
        <v>21</v>
      </c>
      <c r="H62" s="16">
        <f t="shared" si="1"/>
        <v>95.454545454545453</v>
      </c>
    </row>
    <row r="63" spans="1:8" ht="31.2" x14ac:dyDescent="0.3">
      <c r="A63" s="2">
        <v>59</v>
      </c>
      <c r="B63" s="8" t="s">
        <v>61</v>
      </c>
      <c r="C63" s="12">
        <v>26</v>
      </c>
      <c r="D63" s="12">
        <v>26</v>
      </c>
      <c r="E63" s="16">
        <f t="shared" si="0"/>
        <v>100</v>
      </c>
      <c r="F63" s="12">
        <v>22</v>
      </c>
      <c r="G63" s="12">
        <v>22</v>
      </c>
      <c r="H63" s="16">
        <f t="shared" si="1"/>
        <v>100</v>
      </c>
    </row>
    <row r="64" spans="1:8" ht="18" x14ac:dyDescent="0.3">
      <c r="A64" s="2">
        <v>60</v>
      </c>
      <c r="B64" s="9" t="s">
        <v>62</v>
      </c>
      <c r="C64" s="12">
        <v>26</v>
      </c>
      <c r="D64" s="12">
        <v>26</v>
      </c>
      <c r="E64" s="16">
        <f t="shared" si="0"/>
        <v>100</v>
      </c>
      <c r="F64" s="12">
        <v>22</v>
      </c>
      <c r="G64" s="12">
        <v>20</v>
      </c>
      <c r="H64" s="16">
        <f t="shared" si="1"/>
        <v>90.909090909090907</v>
      </c>
    </row>
  </sheetData>
  <mergeCells count="4">
    <mergeCell ref="A1:H1"/>
    <mergeCell ref="A2:H2"/>
    <mergeCell ref="C3:D3"/>
    <mergeCell ref="F3:H3"/>
  </mergeCells>
  <pageMargins left="0.15" right="0.18" top="0.54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sqref="A1:H2"/>
    </sheetView>
  </sheetViews>
  <sheetFormatPr defaultRowHeight="14.4" x14ac:dyDescent="0.3"/>
  <cols>
    <col min="2" max="2" width="31.109375" customWidth="1"/>
  </cols>
  <sheetData>
    <row r="1" spans="1:12" s="1" customFormat="1" ht="68.25" customHeight="1" x14ac:dyDescent="0.25">
      <c r="A1" s="101" t="s">
        <v>0</v>
      </c>
      <c r="B1" s="101"/>
      <c r="C1" s="101"/>
      <c r="D1" s="101"/>
      <c r="E1" s="101"/>
      <c r="F1" s="101"/>
      <c r="G1" s="101"/>
      <c r="H1" s="101"/>
    </row>
    <row r="2" spans="1:12" s="1" customFormat="1" ht="26.25" x14ac:dyDescent="0.25">
      <c r="A2" s="102" t="s">
        <v>63</v>
      </c>
      <c r="B2" s="102"/>
      <c r="C2" s="102"/>
      <c r="D2" s="102"/>
      <c r="E2" s="102"/>
      <c r="F2" s="102"/>
      <c r="G2" s="102"/>
      <c r="H2" s="102"/>
    </row>
    <row r="3" spans="1:12" ht="26.25" customHeight="1" x14ac:dyDescent="0.35">
      <c r="A3" s="1"/>
      <c r="B3" s="1"/>
      <c r="C3" s="98" t="s">
        <v>69</v>
      </c>
      <c r="D3" s="99"/>
      <c r="E3" s="100"/>
      <c r="F3" s="98" t="s">
        <v>70</v>
      </c>
      <c r="G3" s="99"/>
      <c r="H3" s="100"/>
    </row>
    <row r="4" spans="1:12" ht="45" x14ac:dyDescent="0.25">
      <c r="A4" s="19" t="s">
        <v>1</v>
      </c>
      <c r="B4" s="4" t="s">
        <v>2</v>
      </c>
      <c r="C4" s="3" t="s">
        <v>3</v>
      </c>
      <c r="D4" s="3" t="s">
        <v>4</v>
      </c>
      <c r="E4" s="3" t="s">
        <v>73</v>
      </c>
      <c r="F4" s="3" t="s">
        <v>3</v>
      </c>
      <c r="G4" s="3" t="s">
        <v>4</v>
      </c>
      <c r="H4" s="3" t="s">
        <v>73</v>
      </c>
    </row>
    <row r="5" spans="1:12" ht="18.75" x14ac:dyDescent="0.25">
      <c r="A5" s="10">
        <v>1</v>
      </c>
      <c r="B5" s="11" t="s">
        <v>5</v>
      </c>
      <c r="C5" s="12">
        <v>22</v>
      </c>
      <c r="D5" s="12">
        <v>20</v>
      </c>
      <c r="E5" s="16">
        <f>D5:D64*100/22</f>
        <v>90.909090909090907</v>
      </c>
      <c r="F5" s="12">
        <v>24</v>
      </c>
      <c r="G5" s="12">
        <v>22</v>
      </c>
      <c r="H5" s="16">
        <f>G5:G64*100/24</f>
        <v>91.666666666666671</v>
      </c>
    </row>
    <row r="6" spans="1:12" ht="18.75" x14ac:dyDescent="0.25">
      <c r="A6" s="2">
        <v>2</v>
      </c>
      <c r="B6" s="7" t="s">
        <v>6</v>
      </c>
      <c r="C6" s="12">
        <v>22</v>
      </c>
      <c r="D6" s="12">
        <v>20</v>
      </c>
      <c r="E6" s="16">
        <f t="shared" ref="E6:E64" si="0">D6:D65*100/22</f>
        <v>90.909090909090907</v>
      </c>
      <c r="F6" s="12">
        <v>24</v>
      </c>
      <c r="G6" s="12">
        <v>19</v>
      </c>
      <c r="H6" s="16">
        <f t="shared" ref="H6:H64" si="1">G6:G65*100/24</f>
        <v>79.166666666666671</v>
      </c>
    </row>
    <row r="7" spans="1:12" ht="18.75" x14ac:dyDescent="0.25">
      <c r="A7" s="2">
        <v>3</v>
      </c>
      <c r="B7" s="7" t="s">
        <v>7</v>
      </c>
      <c r="C7" s="12">
        <v>22</v>
      </c>
      <c r="D7" s="12">
        <v>19</v>
      </c>
      <c r="E7" s="16">
        <f t="shared" si="0"/>
        <v>86.36363636363636</v>
      </c>
      <c r="F7" s="12">
        <v>24</v>
      </c>
      <c r="G7" s="12">
        <v>18</v>
      </c>
      <c r="H7" s="16">
        <f t="shared" si="1"/>
        <v>75</v>
      </c>
    </row>
    <row r="8" spans="1:12" ht="18.75" x14ac:dyDescent="0.25">
      <c r="A8" s="2">
        <v>4</v>
      </c>
      <c r="B8" s="7" t="s">
        <v>8</v>
      </c>
      <c r="C8" s="12">
        <v>22</v>
      </c>
      <c r="D8" s="12">
        <v>14</v>
      </c>
      <c r="E8" s="16">
        <f t="shared" si="0"/>
        <v>63.636363636363633</v>
      </c>
      <c r="F8" s="12">
        <v>24</v>
      </c>
      <c r="G8" s="12">
        <v>16</v>
      </c>
      <c r="H8" s="16">
        <f t="shared" si="1"/>
        <v>66.666666666666671</v>
      </c>
    </row>
    <row r="9" spans="1:12" ht="18.75" x14ac:dyDescent="0.25">
      <c r="A9" s="2">
        <v>5</v>
      </c>
      <c r="B9" s="7" t="s">
        <v>9</v>
      </c>
      <c r="C9" s="12">
        <v>22</v>
      </c>
      <c r="D9" s="12">
        <v>15</v>
      </c>
      <c r="E9" s="16">
        <f t="shared" si="0"/>
        <v>68.181818181818187</v>
      </c>
      <c r="F9" s="12">
        <v>24</v>
      </c>
      <c r="G9" s="12">
        <v>10</v>
      </c>
      <c r="H9" s="16">
        <f t="shared" si="1"/>
        <v>41.666666666666664</v>
      </c>
    </row>
    <row r="10" spans="1:12" ht="18.75" x14ac:dyDescent="0.25">
      <c r="A10" s="2">
        <v>6</v>
      </c>
      <c r="B10" s="7" t="s">
        <v>10</v>
      </c>
      <c r="C10" s="12">
        <v>22</v>
      </c>
      <c r="D10" s="12">
        <v>12</v>
      </c>
      <c r="E10" s="16">
        <f t="shared" si="0"/>
        <v>54.545454545454547</v>
      </c>
      <c r="F10" s="12">
        <v>24</v>
      </c>
      <c r="G10" s="12">
        <v>8</v>
      </c>
      <c r="H10" s="16">
        <f t="shared" si="1"/>
        <v>33.333333333333336</v>
      </c>
    </row>
    <row r="11" spans="1:12" ht="18.75" x14ac:dyDescent="0.25">
      <c r="A11" s="2">
        <v>7</v>
      </c>
      <c r="B11" s="7" t="s">
        <v>11</v>
      </c>
      <c r="C11" s="12">
        <v>22</v>
      </c>
      <c r="D11" s="12">
        <v>20</v>
      </c>
      <c r="E11" s="16">
        <f t="shared" si="0"/>
        <v>90.909090909090907</v>
      </c>
      <c r="F11" s="12">
        <v>24</v>
      </c>
      <c r="G11" s="12">
        <v>18</v>
      </c>
      <c r="H11" s="16">
        <f t="shared" si="1"/>
        <v>75</v>
      </c>
    </row>
    <row r="12" spans="1:12" ht="18.75" x14ac:dyDescent="0.25">
      <c r="A12" s="2">
        <v>8</v>
      </c>
      <c r="B12" s="7" t="s">
        <v>12</v>
      </c>
      <c r="C12" s="12">
        <v>22</v>
      </c>
      <c r="D12" s="12">
        <v>14</v>
      </c>
      <c r="E12" s="16">
        <f t="shared" si="0"/>
        <v>63.636363636363633</v>
      </c>
      <c r="F12" s="12">
        <v>24</v>
      </c>
      <c r="G12" s="12">
        <v>9</v>
      </c>
      <c r="H12" s="16">
        <f t="shared" si="1"/>
        <v>37.5</v>
      </c>
    </row>
    <row r="13" spans="1:12" ht="18.75" x14ac:dyDescent="0.25">
      <c r="A13" s="2">
        <v>9</v>
      </c>
      <c r="B13" s="7" t="s">
        <v>13</v>
      </c>
      <c r="C13" s="12">
        <v>22</v>
      </c>
      <c r="D13" s="12">
        <v>20</v>
      </c>
      <c r="E13" s="16">
        <f t="shared" si="0"/>
        <v>90.909090909090907</v>
      </c>
      <c r="F13" s="12">
        <v>24</v>
      </c>
      <c r="G13" s="12">
        <v>15</v>
      </c>
      <c r="H13" s="16">
        <f t="shared" si="1"/>
        <v>62.5</v>
      </c>
    </row>
    <row r="14" spans="1:12" ht="18.75" x14ac:dyDescent="0.25">
      <c r="A14" s="2">
        <v>10</v>
      </c>
      <c r="B14" s="7" t="s">
        <v>14</v>
      </c>
      <c r="C14" s="12">
        <v>22</v>
      </c>
      <c r="D14" s="12">
        <v>14</v>
      </c>
      <c r="E14" s="16">
        <f t="shared" si="0"/>
        <v>63.636363636363633</v>
      </c>
      <c r="F14" s="12">
        <v>24</v>
      </c>
      <c r="G14" s="12">
        <v>12</v>
      </c>
      <c r="H14" s="16">
        <f t="shared" si="1"/>
        <v>50</v>
      </c>
      <c r="L14" s="1"/>
    </row>
    <row r="15" spans="1:12" ht="18.75" x14ac:dyDescent="0.25">
      <c r="A15" s="2">
        <v>11</v>
      </c>
      <c r="B15" s="7" t="s">
        <v>15</v>
      </c>
      <c r="C15" s="12">
        <v>22</v>
      </c>
      <c r="D15" s="12">
        <v>18</v>
      </c>
      <c r="E15" s="16">
        <f t="shared" si="0"/>
        <v>81.818181818181813</v>
      </c>
      <c r="F15" s="12">
        <v>24</v>
      </c>
      <c r="G15" s="12">
        <v>14</v>
      </c>
      <c r="H15" s="16">
        <f t="shared" si="1"/>
        <v>58.333333333333336</v>
      </c>
    </row>
    <row r="16" spans="1:12" ht="18.75" x14ac:dyDescent="0.25">
      <c r="A16" s="2">
        <v>12</v>
      </c>
      <c r="B16" s="7" t="s">
        <v>16</v>
      </c>
      <c r="C16" s="12">
        <v>22</v>
      </c>
      <c r="D16" s="12">
        <v>14</v>
      </c>
      <c r="E16" s="16">
        <f t="shared" si="0"/>
        <v>63.636363636363633</v>
      </c>
      <c r="F16" s="12">
        <v>24</v>
      </c>
      <c r="G16" s="12">
        <v>9</v>
      </c>
      <c r="H16" s="16">
        <f t="shared" si="1"/>
        <v>37.5</v>
      </c>
    </row>
    <row r="17" spans="1:8" ht="18.75" x14ac:dyDescent="0.25">
      <c r="A17" s="2">
        <v>13</v>
      </c>
      <c r="B17" s="7" t="s">
        <v>17</v>
      </c>
      <c r="C17" s="12">
        <v>22</v>
      </c>
      <c r="D17" s="12">
        <v>19</v>
      </c>
      <c r="E17" s="16">
        <f t="shared" si="0"/>
        <v>86.36363636363636</v>
      </c>
      <c r="F17" s="12">
        <v>24</v>
      </c>
      <c r="G17" s="12">
        <v>22</v>
      </c>
      <c r="H17" s="16">
        <f t="shared" si="1"/>
        <v>91.666666666666671</v>
      </c>
    </row>
    <row r="18" spans="1:8" ht="18.75" x14ac:dyDescent="0.25">
      <c r="A18" s="2">
        <v>14</v>
      </c>
      <c r="B18" s="7" t="s">
        <v>18</v>
      </c>
      <c r="C18" s="12">
        <v>22</v>
      </c>
      <c r="D18" s="12">
        <v>20</v>
      </c>
      <c r="E18" s="16">
        <f t="shared" si="0"/>
        <v>90.909090909090907</v>
      </c>
      <c r="F18" s="12">
        <v>24</v>
      </c>
      <c r="G18" s="12">
        <v>19</v>
      </c>
      <c r="H18" s="16">
        <f t="shared" si="1"/>
        <v>79.166666666666671</v>
      </c>
    </row>
    <row r="19" spans="1:8" ht="18.75" x14ac:dyDescent="0.25">
      <c r="A19" s="2">
        <v>15</v>
      </c>
      <c r="B19" s="7" t="s">
        <v>19</v>
      </c>
      <c r="C19" s="12">
        <v>22</v>
      </c>
      <c r="D19" s="12">
        <v>14</v>
      </c>
      <c r="E19" s="16">
        <f t="shared" si="0"/>
        <v>63.636363636363633</v>
      </c>
      <c r="F19" s="12">
        <v>24</v>
      </c>
      <c r="G19" s="12">
        <v>3</v>
      </c>
      <c r="H19" s="16">
        <f t="shared" si="1"/>
        <v>12.5</v>
      </c>
    </row>
    <row r="20" spans="1:8" ht="18" x14ac:dyDescent="0.3">
      <c r="A20" s="2">
        <v>16</v>
      </c>
      <c r="B20" s="7" t="s">
        <v>71</v>
      </c>
      <c r="C20" s="12">
        <v>22</v>
      </c>
      <c r="D20" s="12">
        <v>20</v>
      </c>
      <c r="E20" s="16">
        <f t="shared" si="0"/>
        <v>90.909090909090907</v>
      </c>
      <c r="F20" s="12">
        <v>24</v>
      </c>
      <c r="G20" s="12">
        <v>16</v>
      </c>
      <c r="H20" s="16">
        <f t="shared" si="1"/>
        <v>66.666666666666671</v>
      </c>
    </row>
    <row r="21" spans="1:8" ht="18" x14ac:dyDescent="0.3">
      <c r="A21" s="2">
        <v>17</v>
      </c>
      <c r="B21" s="7" t="s">
        <v>20</v>
      </c>
      <c r="C21" s="12">
        <v>22</v>
      </c>
      <c r="D21" s="12">
        <v>19</v>
      </c>
      <c r="E21" s="16">
        <f t="shared" si="0"/>
        <v>86.36363636363636</v>
      </c>
      <c r="F21" s="12">
        <v>24</v>
      </c>
      <c r="G21" s="12">
        <v>19</v>
      </c>
      <c r="H21" s="16">
        <f t="shared" si="1"/>
        <v>79.166666666666671</v>
      </c>
    </row>
    <row r="22" spans="1:8" ht="18" x14ac:dyDescent="0.3">
      <c r="A22" s="2">
        <v>18</v>
      </c>
      <c r="B22" s="7" t="s">
        <v>21</v>
      </c>
      <c r="C22" s="12">
        <v>22</v>
      </c>
      <c r="D22" s="12">
        <v>19</v>
      </c>
      <c r="E22" s="16">
        <f t="shared" si="0"/>
        <v>86.36363636363636</v>
      </c>
      <c r="F22" s="12">
        <v>24</v>
      </c>
      <c r="G22" s="12">
        <v>16</v>
      </c>
      <c r="H22" s="16">
        <f t="shared" si="1"/>
        <v>66.666666666666671</v>
      </c>
    </row>
    <row r="23" spans="1:8" ht="18" x14ac:dyDescent="0.3">
      <c r="A23" s="2">
        <v>19</v>
      </c>
      <c r="B23" s="7" t="s">
        <v>22</v>
      </c>
      <c r="C23" s="12">
        <v>22</v>
      </c>
      <c r="D23" s="12">
        <v>3</v>
      </c>
      <c r="E23" s="16">
        <f t="shared" si="0"/>
        <v>13.636363636363637</v>
      </c>
      <c r="F23" s="12">
        <v>24</v>
      </c>
      <c r="G23" s="12">
        <v>3</v>
      </c>
      <c r="H23" s="16">
        <f t="shared" si="1"/>
        <v>12.5</v>
      </c>
    </row>
    <row r="24" spans="1:8" ht="18" x14ac:dyDescent="0.3">
      <c r="A24" s="2">
        <v>20</v>
      </c>
      <c r="B24" s="7" t="s">
        <v>23</v>
      </c>
      <c r="C24" s="12">
        <v>22</v>
      </c>
      <c r="D24" s="12">
        <v>19</v>
      </c>
      <c r="E24" s="16">
        <f t="shared" si="0"/>
        <v>86.36363636363636</v>
      </c>
      <c r="F24" s="12">
        <v>24</v>
      </c>
      <c r="G24" s="12">
        <v>18</v>
      </c>
      <c r="H24" s="16">
        <f t="shared" si="1"/>
        <v>75</v>
      </c>
    </row>
    <row r="25" spans="1:8" ht="18" x14ac:dyDescent="0.3">
      <c r="A25" s="2">
        <v>21</v>
      </c>
      <c r="B25" s="7" t="s">
        <v>24</v>
      </c>
      <c r="C25" s="12">
        <v>22</v>
      </c>
      <c r="D25" s="12">
        <v>21</v>
      </c>
      <c r="E25" s="16">
        <f t="shared" si="0"/>
        <v>95.454545454545453</v>
      </c>
      <c r="F25" s="12">
        <v>24</v>
      </c>
      <c r="G25" s="12">
        <v>22</v>
      </c>
      <c r="H25" s="16">
        <f t="shared" si="1"/>
        <v>91.666666666666671</v>
      </c>
    </row>
    <row r="26" spans="1:8" ht="18" x14ac:dyDescent="0.3">
      <c r="A26" s="2">
        <v>22</v>
      </c>
      <c r="B26" s="7" t="s">
        <v>25</v>
      </c>
      <c r="C26" s="12">
        <v>22</v>
      </c>
      <c r="D26" s="12">
        <v>17</v>
      </c>
      <c r="E26" s="16">
        <f t="shared" si="0"/>
        <v>77.272727272727266</v>
      </c>
      <c r="F26" s="12">
        <v>24</v>
      </c>
      <c r="G26" s="12">
        <v>15</v>
      </c>
      <c r="H26" s="16">
        <f t="shared" si="1"/>
        <v>62.5</v>
      </c>
    </row>
    <row r="27" spans="1:8" ht="18" x14ac:dyDescent="0.3">
      <c r="A27" s="2">
        <v>23</v>
      </c>
      <c r="B27" s="7" t="s">
        <v>26</v>
      </c>
      <c r="C27" s="12">
        <v>22</v>
      </c>
      <c r="D27" s="12">
        <v>18</v>
      </c>
      <c r="E27" s="16">
        <f t="shared" si="0"/>
        <v>81.818181818181813</v>
      </c>
      <c r="F27" s="12">
        <v>24</v>
      </c>
      <c r="G27" s="12">
        <v>18</v>
      </c>
      <c r="H27" s="16">
        <f t="shared" si="1"/>
        <v>75</v>
      </c>
    </row>
    <row r="28" spans="1:8" ht="18" x14ac:dyDescent="0.3">
      <c r="A28" s="2">
        <v>24</v>
      </c>
      <c r="B28" s="7" t="s">
        <v>27</v>
      </c>
      <c r="C28" s="12">
        <v>22</v>
      </c>
      <c r="D28" s="12">
        <v>18</v>
      </c>
      <c r="E28" s="16">
        <f t="shared" si="0"/>
        <v>81.818181818181813</v>
      </c>
      <c r="F28" s="12">
        <v>24</v>
      </c>
      <c r="G28" s="12">
        <v>18</v>
      </c>
      <c r="H28" s="16">
        <f t="shared" si="1"/>
        <v>75</v>
      </c>
    </row>
    <row r="29" spans="1:8" ht="18" x14ac:dyDescent="0.3">
      <c r="A29" s="2">
        <v>25</v>
      </c>
      <c r="B29" s="7" t="s">
        <v>28</v>
      </c>
      <c r="C29" s="12">
        <v>22</v>
      </c>
      <c r="D29" s="12">
        <v>20</v>
      </c>
      <c r="E29" s="16">
        <f t="shared" si="0"/>
        <v>90.909090909090907</v>
      </c>
      <c r="F29" s="12">
        <v>24</v>
      </c>
      <c r="G29" s="12">
        <v>15</v>
      </c>
      <c r="H29" s="16">
        <f t="shared" si="1"/>
        <v>62.5</v>
      </c>
    </row>
    <row r="30" spans="1:8" ht="18" x14ac:dyDescent="0.3">
      <c r="A30" s="2">
        <v>26</v>
      </c>
      <c r="B30" s="7" t="s">
        <v>29</v>
      </c>
      <c r="C30" s="12">
        <v>22</v>
      </c>
      <c r="D30" s="12">
        <v>13</v>
      </c>
      <c r="E30" s="16">
        <f t="shared" si="0"/>
        <v>59.090909090909093</v>
      </c>
      <c r="F30" s="12">
        <v>24</v>
      </c>
      <c r="G30" s="12">
        <v>18</v>
      </c>
      <c r="H30" s="16">
        <f t="shared" si="1"/>
        <v>75</v>
      </c>
    </row>
    <row r="31" spans="1:8" ht="18" x14ac:dyDescent="0.3">
      <c r="A31" s="2">
        <v>27</v>
      </c>
      <c r="B31" s="7" t="s">
        <v>30</v>
      </c>
      <c r="C31" s="12">
        <v>22</v>
      </c>
      <c r="D31" s="12">
        <v>17</v>
      </c>
      <c r="E31" s="16">
        <f t="shared" si="0"/>
        <v>77.272727272727266</v>
      </c>
      <c r="F31" s="12">
        <v>24</v>
      </c>
      <c r="G31" s="12">
        <v>16</v>
      </c>
      <c r="H31" s="16">
        <f t="shared" si="1"/>
        <v>66.666666666666671</v>
      </c>
    </row>
    <row r="32" spans="1:8" ht="18" x14ac:dyDescent="0.3">
      <c r="A32" s="2">
        <v>28</v>
      </c>
      <c r="B32" s="7" t="s">
        <v>31</v>
      </c>
      <c r="C32" s="12">
        <v>22</v>
      </c>
      <c r="D32" s="12">
        <v>20</v>
      </c>
      <c r="E32" s="16">
        <f t="shared" si="0"/>
        <v>90.909090909090907</v>
      </c>
      <c r="F32" s="12">
        <v>24</v>
      </c>
      <c r="G32" s="12">
        <v>18</v>
      </c>
      <c r="H32" s="16">
        <f t="shared" si="1"/>
        <v>75</v>
      </c>
    </row>
    <row r="33" spans="1:8" ht="18" x14ac:dyDescent="0.3">
      <c r="A33" s="2">
        <v>29</v>
      </c>
      <c r="B33" s="7" t="s">
        <v>32</v>
      </c>
      <c r="C33" s="12">
        <v>22</v>
      </c>
      <c r="D33" s="12">
        <v>20</v>
      </c>
      <c r="E33" s="16">
        <f t="shared" si="0"/>
        <v>90.909090909090907</v>
      </c>
      <c r="F33" s="12">
        <v>24</v>
      </c>
      <c r="G33" s="12">
        <v>22</v>
      </c>
      <c r="H33" s="16">
        <f t="shared" si="1"/>
        <v>91.666666666666671</v>
      </c>
    </row>
    <row r="34" spans="1:8" ht="18" x14ac:dyDescent="0.3">
      <c r="A34" s="2">
        <v>30</v>
      </c>
      <c r="B34" s="7" t="s">
        <v>33</v>
      </c>
      <c r="C34" s="12">
        <v>22</v>
      </c>
      <c r="D34" s="12">
        <v>19</v>
      </c>
      <c r="E34" s="16">
        <f t="shared" si="0"/>
        <v>86.36363636363636</v>
      </c>
      <c r="F34" s="12">
        <v>24</v>
      </c>
      <c r="G34" s="12">
        <v>22</v>
      </c>
      <c r="H34" s="16">
        <f t="shared" si="1"/>
        <v>91.666666666666671</v>
      </c>
    </row>
    <row r="35" spans="1:8" ht="18" x14ac:dyDescent="0.3">
      <c r="A35" s="2">
        <v>31</v>
      </c>
      <c r="B35" s="7" t="s">
        <v>34</v>
      </c>
      <c r="C35" s="12">
        <v>22</v>
      </c>
      <c r="D35" s="12">
        <v>17</v>
      </c>
      <c r="E35" s="16">
        <f t="shared" si="0"/>
        <v>77.272727272727266</v>
      </c>
      <c r="F35" s="12">
        <v>24</v>
      </c>
      <c r="G35" s="12">
        <v>16</v>
      </c>
      <c r="H35" s="16">
        <f t="shared" si="1"/>
        <v>66.666666666666671</v>
      </c>
    </row>
    <row r="36" spans="1:8" ht="18" x14ac:dyDescent="0.3">
      <c r="A36" s="2">
        <v>32</v>
      </c>
      <c r="B36" s="7" t="s">
        <v>35</v>
      </c>
      <c r="C36" s="12">
        <v>22</v>
      </c>
      <c r="D36" s="12">
        <v>20</v>
      </c>
      <c r="E36" s="16">
        <f t="shared" si="0"/>
        <v>90.909090909090907</v>
      </c>
      <c r="F36" s="12">
        <v>24</v>
      </c>
      <c r="G36" s="12">
        <v>13</v>
      </c>
      <c r="H36" s="16">
        <f t="shared" si="1"/>
        <v>54.166666666666664</v>
      </c>
    </row>
    <row r="37" spans="1:8" ht="18" x14ac:dyDescent="0.3">
      <c r="A37" s="2">
        <v>33</v>
      </c>
      <c r="B37" s="7" t="s">
        <v>36</v>
      </c>
      <c r="C37" s="12">
        <v>22</v>
      </c>
      <c r="D37" s="12">
        <v>20</v>
      </c>
      <c r="E37" s="16">
        <f t="shared" si="0"/>
        <v>90.909090909090907</v>
      </c>
      <c r="F37" s="12">
        <v>24</v>
      </c>
      <c r="G37" s="12">
        <v>13</v>
      </c>
      <c r="H37" s="16">
        <f t="shared" si="1"/>
        <v>54.166666666666664</v>
      </c>
    </row>
    <row r="38" spans="1:8" ht="18" x14ac:dyDescent="0.3">
      <c r="A38" s="2">
        <v>34</v>
      </c>
      <c r="B38" s="7" t="s">
        <v>37</v>
      </c>
      <c r="C38" s="12">
        <v>22</v>
      </c>
      <c r="D38" s="12">
        <v>19</v>
      </c>
      <c r="E38" s="16">
        <f t="shared" si="0"/>
        <v>86.36363636363636</v>
      </c>
      <c r="F38" s="12">
        <v>24</v>
      </c>
      <c r="G38" s="12">
        <v>20</v>
      </c>
      <c r="H38" s="16">
        <f t="shared" si="1"/>
        <v>83.333333333333329</v>
      </c>
    </row>
    <row r="39" spans="1:8" ht="18" x14ac:dyDescent="0.3">
      <c r="A39" s="2">
        <v>35</v>
      </c>
      <c r="B39" s="7" t="s">
        <v>67</v>
      </c>
      <c r="C39" s="12">
        <v>22</v>
      </c>
      <c r="D39" s="12">
        <v>21</v>
      </c>
      <c r="E39" s="16">
        <f t="shared" si="0"/>
        <v>95.454545454545453</v>
      </c>
      <c r="F39" s="12">
        <v>24</v>
      </c>
      <c r="G39" s="12">
        <v>20</v>
      </c>
      <c r="H39" s="16">
        <f t="shared" si="1"/>
        <v>83.333333333333329</v>
      </c>
    </row>
    <row r="40" spans="1:8" ht="18" x14ac:dyDescent="0.3">
      <c r="A40" s="2">
        <v>36</v>
      </c>
      <c r="B40" s="7" t="s">
        <v>38</v>
      </c>
      <c r="C40" s="12">
        <v>22</v>
      </c>
      <c r="D40" s="12">
        <v>18</v>
      </c>
      <c r="E40" s="16">
        <f t="shared" si="0"/>
        <v>81.818181818181813</v>
      </c>
      <c r="F40" s="12">
        <v>24</v>
      </c>
      <c r="G40" s="12">
        <v>17</v>
      </c>
      <c r="H40" s="16">
        <f t="shared" si="1"/>
        <v>70.833333333333329</v>
      </c>
    </row>
    <row r="41" spans="1:8" ht="18" x14ac:dyDescent="0.3">
      <c r="A41" s="2">
        <v>37</v>
      </c>
      <c r="B41" s="7" t="s">
        <v>39</v>
      </c>
      <c r="C41" s="12">
        <v>22</v>
      </c>
      <c r="D41" s="12">
        <v>21</v>
      </c>
      <c r="E41" s="16">
        <f t="shared" si="0"/>
        <v>95.454545454545453</v>
      </c>
      <c r="F41" s="12">
        <v>24</v>
      </c>
      <c r="G41" s="12">
        <v>21</v>
      </c>
      <c r="H41" s="16">
        <f t="shared" si="1"/>
        <v>87.5</v>
      </c>
    </row>
    <row r="42" spans="1:8" ht="18" x14ac:dyDescent="0.3">
      <c r="A42" s="2">
        <v>38</v>
      </c>
      <c r="B42" s="7" t="s">
        <v>40</v>
      </c>
      <c r="C42" s="12">
        <v>22</v>
      </c>
      <c r="D42" s="12">
        <v>20</v>
      </c>
      <c r="E42" s="16">
        <f t="shared" si="0"/>
        <v>90.909090909090907</v>
      </c>
      <c r="F42" s="12">
        <v>24</v>
      </c>
      <c r="G42" s="12">
        <v>19</v>
      </c>
      <c r="H42" s="16">
        <f t="shared" si="1"/>
        <v>79.166666666666671</v>
      </c>
    </row>
    <row r="43" spans="1:8" ht="18" x14ac:dyDescent="0.3">
      <c r="A43" s="2">
        <v>39</v>
      </c>
      <c r="B43" s="7" t="s">
        <v>41</v>
      </c>
      <c r="C43" s="12">
        <v>22</v>
      </c>
      <c r="D43" s="12">
        <v>19</v>
      </c>
      <c r="E43" s="16">
        <f t="shared" si="0"/>
        <v>86.36363636363636</v>
      </c>
      <c r="F43" s="12">
        <v>24</v>
      </c>
      <c r="G43" s="12">
        <v>19</v>
      </c>
      <c r="H43" s="16">
        <f t="shared" si="1"/>
        <v>79.166666666666671</v>
      </c>
    </row>
    <row r="44" spans="1:8" ht="18" x14ac:dyDescent="0.3">
      <c r="A44" s="2">
        <v>40</v>
      </c>
      <c r="B44" s="7" t="s">
        <v>42</v>
      </c>
      <c r="C44" s="12">
        <v>22</v>
      </c>
      <c r="D44" s="12">
        <v>18</v>
      </c>
      <c r="E44" s="16">
        <f t="shared" si="0"/>
        <v>81.818181818181813</v>
      </c>
      <c r="F44" s="12">
        <v>24</v>
      </c>
      <c r="G44" s="12">
        <v>14</v>
      </c>
      <c r="H44" s="16">
        <f t="shared" si="1"/>
        <v>58.333333333333336</v>
      </c>
    </row>
    <row r="45" spans="1:8" ht="18" x14ac:dyDescent="0.3">
      <c r="A45" s="2">
        <v>41</v>
      </c>
      <c r="B45" s="7" t="s">
        <v>43</v>
      </c>
      <c r="C45" s="12">
        <v>22</v>
      </c>
      <c r="D45" s="12">
        <v>20</v>
      </c>
      <c r="E45" s="16">
        <f t="shared" si="0"/>
        <v>90.909090909090907</v>
      </c>
      <c r="F45" s="12">
        <v>24</v>
      </c>
      <c r="G45" s="12">
        <v>19</v>
      </c>
      <c r="H45" s="16">
        <f t="shared" si="1"/>
        <v>79.166666666666671</v>
      </c>
    </row>
    <row r="46" spans="1:8" ht="18" x14ac:dyDescent="0.3">
      <c r="A46" s="2">
        <v>42</v>
      </c>
      <c r="B46" s="7" t="s">
        <v>44</v>
      </c>
      <c r="C46" s="12">
        <v>22</v>
      </c>
      <c r="D46" s="12">
        <v>21</v>
      </c>
      <c r="E46" s="16">
        <f t="shared" si="0"/>
        <v>95.454545454545453</v>
      </c>
      <c r="F46" s="12">
        <v>24</v>
      </c>
      <c r="G46" s="12">
        <v>19</v>
      </c>
      <c r="H46" s="16">
        <f t="shared" si="1"/>
        <v>79.166666666666671</v>
      </c>
    </row>
    <row r="47" spans="1:8" ht="18" x14ac:dyDescent="0.3">
      <c r="A47" s="2">
        <v>43</v>
      </c>
      <c r="B47" s="7" t="s">
        <v>45</v>
      </c>
      <c r="C47" s="12">
        <v>22</v>
      </c>
      <c r="D47" s="12">
        <v>21</v>
      </c>
      <c r="E47" s="16">
        <f t="shared" si="0"/>
        <v>95.454545454545453</v>
      </c>
      <c r="F47" s="12">
        <v>24</v>
      </c>
      <c r="G47" s="12">
        <v>19</v>
      </c>
      <c r="H47" s="16">
        <f t="shared" si="1"/>
        <v>79.166666666666671</v>
      </c>
    </row>
    <row r="48" spans="1:8" ht="18" x14ac:dyDescent="0.3">
      <c r="A48" s="2">
        <v>44</v>
      </c>
      <c r="B48" s="7" t="s">
        <v>46</v>
      </c>
      <c r="C48" s="12">
        <v>22</v>
      </c>
      <c r="D48" s="12">
        <v>14</v>
      </c>
      <c r="E48" s="16">
        <f t="shared" si="0"/>
        <v>63.636363636363633</v>
      </c>
      <c r="F48" s="12">
        <v>24</v>
      </c>
      <c r="G48" s="12">
        <v>13</v>
      </c>
      <c r="H48" s="16">
        <f t="shared" si="1"/>
        <v>54.166666666666664</v>
      </c>
    </row>
    <row r="49" spans="1:8" ht="18" x14ac:dyDescent="0.3">
      <c r="A49" s="2">
        <v>45</v>
      </c>
      <c r="B49" s="7" t="s">
        <v>47</v>
      </c>
      <c r="C49" s="12">
        <v>22</v>
      </c>
      <c r="D49" s="12">
        <v>19</v>
      </c>
      <c r="E49" s="16">
        <f t="shared" si="0"/>
        <v>86.36363636363636</v>
      </c>
      <c r="F49" s="12">
        <v>24</v>
      </c>
      <c r="G49" s="12">
        <v>13</v>
      </c>
      <c r="H49" s="16">
        <f t="shared" si="1"/>
        <v>54.166666666666664</v>
      </c>
    </row>
    <row r="50" spans="1:8" ht="18" x14ac:dyDescent="0.3">
      <c r="A50" s="2">
        <v>46</v>
      </c>
      <c r="B50" s="7" t="s">
        <v>48</v>
      </c>
      <c r="C50" s="12">
        <v>22</v>
      </c>
      <c r="D50" s="12">
        <v>19</v>
      </c>
      <c r="E50" s="16">
        <f t="shared" si="0"/>
        <v>86.36363636363636</v>
      </c>
      <c r="F50" s="12">
        <v>24</v>
      </c>
      <c r="G50" s="12">
        <v>18</v>
      </c>
      <c r="H50" s="16">
        <f t="shared" si="1"/>
        <v>75</v>
      </c>
    </row>
    <row r="51" spans="1:8" ht="18" x14ac:dyDescent="0.3">
      <c r="A51" s="2">
        <v>47</v>
      </c>
      <c r="B51" s="7" t="s">
        <v>49</v>
      </c>
      <c r="C51" s="12">
        <v>22</v>
      </c>
      <c r="D51" s="12">
        <v>18</v>
      </c>
      <c r="E51" s="16">
        <f t="shared" si="0"/>
        <v>81.818181818181813</v>
      </c>
      <c r="F51" s="12">
        <v>24</v>
      </c>
      <c r="G51" s="12">
        <v>17</v>
      </c>
      <c r="H51" s="16">
        <f t="shared" si="1"/>
        <v>70.833333333333329</v>
      </c>
    </row>
    <row r="52" spans="1:8" ht="18" x14ac:dyDescent="0.3">
      <c r="A52" s="2">
        <v>48</v>
      </c>
      <c r="B52" s="7" t="s">
        <v>50</v>
      </c>
      <c r="C52" s="12">
        <v>22</v>
      </c>
      <c r="D52" s="12">
        <v>19</v>
      </c>
      <c r="E52" s="16">
        <f t="shared" si="0"/>
        <v>86.36363636363636</v>
      </c>
      <c r="F52" s="12">
        <v>24</v>
      </c>
      <c r="G52" s="12">
        <v>19</v>
      </c>
      <c r="H52" s="16">
        <f t="shared" si="1"/>
        <v>79.166666666666671</v>
      </c>
    </row>
    <row r="53" spans="1:8" ht="18" x14ac:dyDescent="0.3">
      <c r="A53" s="2">
        <v>49</v>
      </c>
      <c r="B53" s="7" t="s">
        <v>51</v>
      </c>
      <c r="C53" s="12">
        <v>22</v>
      </c>
      <c r="D53" s="12">
        <v>19</v>
      </c>
      <c r="E53" s="16">
        <f t="shared" si="0"/>
        <v>86.36363636363636</v>
      </c>
      <c r="F53" s="12">
        <v>24</v>
      </c>
      <c r="G53" s="12">
        <v>17</v>
      </c>
      <c r="H53" s="16">
        <f t="shared" si="1"/>
        <v>70.833333333333329</v>
      </c>
    </row>
    <row r="54" spans="1:8" ht="18" x14ac:dyDescent="0.3">
      <c r="A54" s="2">
        <v>50</v>
      </c>
      <c r="B54" s="7" t="s">
        <v>52</v>
      </c>
      <c r="C54" s="12">
        <v>22</v>
      </c>
      <c r="D54" s="12">
        <v>21</v>
      </c>
      <c r="E54" s="16">
        <f t="shared" si="0"/>
        <v>95.454545454545453</v>
      </c>
      <c r="F54" s="12">
        <v>24</v>
      </c>
      <c r="G54" s="12">
        <v>20</v>
      </c>
      <c r="H54" s="16">
        <f t="shared" si="1"/>
        <v>83.333333333333329</v>
      </c>
    </row>
    <row r="55" spans="1:8" ht="18" x14ac:dyDescent="0.3">
      <c r="A55" s="2">
        <v>51</v>
      </c>
      <c r="B55" s="7" t="s">
        <v>53</v>
      </c>
      <c r="C55" s="12">
        <v>22</v>
      </c>
      <c r="D55" s="12">
        <v>19</v>
      </c>
      <c r="E55" s="16">
        <f t="shared" si="0"/>
        <v>86.36363636363636</v>
      </c>
      <c r="F55" s="12">
        <v>24</v>
      </c>
      <c r="G55" s="12">
        <v>19</v>
      </c>
      <c r="H55" s="16">
        <f t="shared" si="1"/>
        <v>79.166666666666671</v>
      </c>
    </row>
    <row r="56" spans="1:8" ht="18" x14ac:dyDescent="0.3">
      <c r="A56" s="2">
        <v>52</v>
      </c>
      <c r="B56" s="7" t="s">
        <v>54</v>
      </c>
      <c r="C56" s="12">
        <v>22</v>
      </c>
      <c r="D56" s="12">
        <v>20</v>
      </c>
      <c r="E56" s="16">
        <f t="shared" si="0"/>
        <v>90.909090909090907</v>
      </c>
      <c r="F56" s="12">
        <v>24</v>
      </c>
      <c r="G56" s="12">
        <v>19</v>
      </c>
      <c r="H56" s="16">
        <f t="shared" si="1"/>
        <v>79.166666666666671</v>
      </c>
    </row>
    <row r="57" spans="1:8" ht="18" x14ac:dyDescent="0.3">
      <c r="A57" s="2">
        <v>53</v>
      </c>
      <c r="B57" s="7" t="s">
        <v>55</v>
      </c>
      <c r="C57" s="12">
        <v>22</v>
      </c>
      <c r="D57" s="12">
        <v>20</v>
      </c>
      <c r="E57" s="16">
        <f t="shared" si="0"/>
        <v>90.909090909090907</v>
      </c>
      <c r="F57" s="12">
        <v>24</v>
      </c>
      <c r="G57" s="12">
        <v>22</v>
      </c>
      <c r="H57" s="16">
        <f t="shared" si="1"/>
        <v>91.666666666666671</v>
      </c>
    </row>
    <row r="58" spans="1:8" ht="18" x14ac:dyDescent="0.3">
      <c r="A58" s="2">
        <v>54</v>
      </c>
      <c r="B58" s="7" t="s">
        <v>56</v>
      </c>
      <c r="C58" s="12">
        <v>22</v>
      </c>
      <c r="D58" s="12">
        <v>14</v>
      </c>
      <c r="E58" s="16">
        <f t="shared" si="0"/>
        <v>63.636363636363633</v>
      </c>
      <c r="F58" s="12">
        <v>24</v>
      </c>
      <c r="G58" s="12">
        <v>17</v>
      </c>
      <c r="H58" s="16">
        <f t="shared" si="1"/>
        <v>70.833333333333329</v>
      </c>
    </row>
    <row r="59" spans="1:8" ht="18" x14ac:dyDescent="0.3">
      <c r="A59" s="2">
        <v>55</v>
      </c>
      <c r="B59" s="7" t="s">
        <v>57</v>
      </c>
      <c r="C59" s="12">
        <v>22</v>
      </c>
      <c r="D59" s="12">
        <v>21</v>
      </c>
      <c r="E59" s="16">
        <f t="shared" si="0"/>
        <v>95.454545454545453</v>
      </c>
      <c r="F59" s="12">
        <v>24</v>
      </c>
      <c r="G59" s="12">
        <v>16</v>
      </c>
      <c r="H59" s="16">
        <f t="shared" si="1"/>
        <v>66.666666666666671</v>
      </c>
    </row>
    <row r="60" spans="1:8" ht="18" x14ac:dyDescent="0.3">
      <c r="A60" s="2">
        <v>56</v>
      </c>
      <c r="B60" s="7" t="s">
        <v>58</v>
      </c>
      <c r="C60" s="12">
        <v>22</v>
      </c>
      <c r="D60" s="12">
        <v>1</v>
      </c>
      <c r="E60" s="16">
        <f t="shared" si="0"/>
        <v>4.5454545454545459</v>
      </c>
      <c r="F60" s="12">
        <v>24</v>
      </c>
      <c r="G60" s="12">
        <v>6</v>
      </c>
      <c r="H60" s="16">
        <f t="shared" si="1"/>
        <v>25</v>
      </c>
    </row>
    <row r="61" spans="1:8" ht="18" x14ac:dyDescent="0.3">
      <c r="A61" s="2">
        <v>57</v>
      </c>
      <c r="B61" s="7" t="s">
        <v>59</v>
      </c>
      <c r="C61" s="12">
        <v>22</v>
      </c>
      <c r="D61" s="12">
        <v>16</v>
      </c>
      <c r="E61" s="16">
        <f t="shared" si="0"/>
        <v>72.727272727272734</v>
      </c>
      <c r="F61" s="12">
        <v>24</v>
      </c>
      <c r="G61" s="12">
        <v>16</v>
      </c>
      <c r="H61" s="16">
        <f t="shared" si="1"/>
        <v>66.666666666666671</v>
      </c>
    </row>
    <row r="62" spans="1:8" ht="18" x14ac:dyDescent="0.3">
      <c r="A62" s="2">
        <v>58</v>
      </c>
      <c r="B62" s="7" t="s">
        <v>60</v>
      </c>
      <c r="C62" s="12">
        <v>22</v>
      </c>
      <c r="D62" s="12">
        <v>19</v>
      </c>
      <c r="E62" s="16">
        <f t="shared" si="0"/>
        <v>86.36363636363636</v>
      </c>
      <c r="F62" s="12">
        <v>24</v>
      </c>
      <c r="G62" s="12">
        <v>22</v>
      </c>
      <c r="H62" s="16">
        <f t="shared" si="1"/>
        <v>91.666666666666671</v>
      </c>
    </row>
    <row r="63" spans="1:8" ht="31.2" x14ac:dyDescent="0.3">
      <c r="A63" s="2">
        <v>59</v>
      </c>
      <c r="B63" s="8" t="s">
        <v>61</v>
      </c>
      <c r="C63" s="12">
        <v>22</v>
      </c>
      <c r="D63" s="12">
        <v>20</v>
      </c>
      <c r="E63" s="16">
        <f t="shared" si="0"/>
        <v>90.909090909090907</v>
      </c>
      <c r="F63" s="12">
        <v>24</v>
      </c>
      <c r="G63" s="12">
        <v>21</v>
      </c>
      <c r="H63" s="16">
        <f t="shared" si="1"/>
        <v>87.5</v>
      </c>
    </row>
    <row r="64" spans="1:8" ht="18" x14ac:dyDescent="0.3">
      <c r="A64" s="2">
        <v>60</v>
      </c>
      <c r="B64" s="9" t="s">
        <v>62</v>
      </c>
      <c r="C64" s="12">
        <v>22</v>
      </c>
      <c r="D64" s="12">
        <v>19</v>
      </c>
      <c r="E64" s="16">
        <f t="shared" si="0"/>
        <v>86.36363636363636</v>
      </c>
      <c r="F64" s="12">
        <v>24</v>
      </c>
      <c r="G64" s="12">
        <v>20</v>
      </c>
      <c r="H64" s="16">
        <f t="shared" si="1"/>
        <v>83.333333333333329</v>
      </c>
    </row>
  </sheetData>
  <mergeCells count="4">
    <mergeCell ref="A1:H1"/>
    <mergeCell ref="A2:H2"/>
    <mergeCell ref="C3:E3"/>
    <mergeCell ref="F3:H3"/>
  </mergeCells>
  <pageMargins left="0.16" right="0.21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sqref="A1:H2"/>
    </sheetView>
  </sheetViews>
  <sheetFormatPr defaultRowHeight="14.4" x14ac:dyDescent="0.3"/>
  <cols>
    <col min="2" max="2" width="27.88671875" customWidth="1"/>
  </cols>
  <sheetData>
    <row r="1" spans="1:8" s="1" customFormat="1" ht="87.75" customHeight="1" x14ac:dyDescent="0.25">
      <c r="A1" s="104" t="s">
        <v>0</v>
      </c>
      <c r="B1" s="105"/>
      <c r="C1" s="105"/>
      <c r="D1" s="105"/>
      <c r="E1" s="105"/>
      <c r="F1" s="105"/>
      <c r="G1" s="105"/>
      <c r="H1" s="106"/>
    </row>
    <row r="2" spans="1:8" ht="26.25" x14ac:dyDescent="0.25">
      <c r="A2" s="102" t="s">
        <v>63</v>
      </c>
      <c r="B2" s="102"/>
      <c r="C2" s="102"/>
      <c r="D2" s="102"/>
      <c r="E2" s="102"/>
      <c r="F2" s="102"/>
      <c r="G2" s="102"/>
      <c r="H2" s="102"/>
    </row>
    <row r="3" spans="1:8" ht="21" x14ac:dyDescent="0.35">
      <c r="C3" s="103" t="s">
        <v>72</v>
      </c>
      <c r="D3" s="103"/>
      <c r="E3" s="103"/>
      <c r="F3" s="103" t="s">
        <v>74</v>
      </c>
      <c r="G3" s="103"/>
      <c r="H3" s="103"/>
    </row>
    <row r="4" spans="1:8" ht="45" x14ac:dyDescent="0.25">
      <c r="A4" s="19" t="s">
        <v>1</v>
      </c>
      <c r="B4" s="4" t="s">
        <v>2</v>
      </c>
      <c r="C4" s="13" t="s">
        <v>3</v>
      </c>
      <c r="D4" s="13" t="s">
        <v>4</v>
      </c>
      <c r="E4" s="3" t="s">
        <v>73</v>
      </c>
      <c r="F4" s="13" t="s">
        <v>3</v>
      </c>
      <c r="G4" s="3" t="s">
        <v>4</v>
      </c>
      <c r="H4" s="3" t="s">
        <v>73</v>
      </c>
    </row>
    <row r="5" spans="1:8" ht="18.75" x14ac:dyDescent="0.25">
      <c r="A5" s="10">
        <v>1</v>
      </c>
      <c r="B5" s="11" t="s">
        <v>5</v>
      </c>
      <c r="C5" s="12">
        <v>16</v>
      </c>
      <c r="D5" s="12">
        <v>13</v>
      </c>
      <c r="E5" s="17">
        <f>D5:D64*100/16</f>
        <v>81.25</v>
      </c>
      <c r="F5" s="12">
        <v>17</v>
      </c>
      <c r="G5" s="12">
        <v>7</v>
      </c>
      <c r="H5" s="17">
        <f>G5:G64*100/17</f>
        <v>41.176470588235297</v>
      </c>
    </row>
    <row r="6" spans="1:8" ht="18.75" x14ac:dyDescent="0.25">
      <c r="A6" s="2">
        <v>2</v>
      </c>
      <c r="B6" s="7" t="s">
        <v>6</v>
      </c>
      <c r="C6" s="12">
        <v>16</v>
      </c>
      <c r="D6" s="12">
        <v>13</v>
      </c>
      <c r="E6" s="17">
        <f t="shared" ref="E6:E64" si="0">D6:D65*100/16</f>
        <v>81.25</v>
      </c>
      <c r="F6" s="12">
        <v>17</v>
      </c>
      <c r="G6" s="6">
        <v>13</v>
      </c>
      <c r="H6" s="17">
        <f t="shared" ref="H6:H64" si="1">G6:G65*100/17</f>
        <v>76.470588235294116</v>
      </c>
    </row>
    <row r="7" spans="1:8" ht="18.75" x14ac:dyDescent="0.25">
      <c r="A7" s="2">
        <v>3</v>
      </c>
      <c r="B7" s="7" t="s">
        <v>7</v>
      </c>
      <c r="C7" s="12">
        <v>16</v>
      </c>
      <c r="D7" s="12">
        <v>9</v>
      </c>
      <c r="E7" s="17">
        <f t="shared" si="0"/>
        <v>56.25</v>
      </c>
      <c r="F7" s="12">
        <v>17</v>
      </c>
      <c r="G7" s="5">
        <v>12</v>
      </c>
      <c r="H7" s="17">
        <f t="shared" si="1"/>
        <v>70.588235294117652</v>
      </c>
    </row>
    <row r="8" spans="1:8" ht="31.5" x14ac:dyDescent="0.25">
      <c r="A8" s="2">
        <v>4</v>
      </c>
      <c r="B8" s="7" t="s">
        <v>8</v>
      </c>
      <c r="C8" s="12">
        <v>16</v>
      </c>
      <c r="D8" s="12">
        <v>12</v>
      </c>
      <c r="E8" s="17">
        <f t="shared" si="0"/>
        <v>75</v>
      </c>
      <c r="F8" s="12">
        <v>17</v>
      </c>
      <c r="G8" s="6">
        <v>11</v>
      </c>
      <c r="H8" s="17">
        <f t="shared" si="1"/>
        <v>64.705882352941174</v>
      </c>
    </row>
    <row r="9" spans="1:8" ht="18.75" x14ac:dyDescent="0.25">
      <c r="A9" s="2">
        <v>5</v>
      </c>
      <c r="B9" s="7" t="s">
        <v>9</v>
      </c>
      <c r="C9" s="12">
        <v>16</v>
      </c>
      <c r="D9" s="12">
        <v>12</v>
      </c>
      <c r="E9" s="17">
        <f t="shared" si="0"/>
        <v>75</v>
      </c>
      <c r="F9" s="12">
        <v>17</v>
      </c>
      <c r="G9" s="5">
        <v>4</v>
      </c>
      <c r="H9" s="17">
        <f t="shared" si="1"/>
        <v>23.529411764705884</v>
      </c>
    </row>
    <row r="10" spans="1:8" ht="18.75" x14ac:dyDescent="0.25">
      <c r="A10" s="2">
        <v>6</v>
      </c>
      <c r="B10" s="7" t="s">
        <v>10</v>
      </c>
      <c r="C10" s="12">
        <v>16</v>
      </c>
      <c r="D10" s="12">
        <v>11</v>
      </c>
      <c r="E10" s="17">
        <f t="shared" si="0"/>
        <v>68.75</v>
      </c>
      <c r="F10" s="12">
        <v>17</v>
      </c>
      <c r="G10" s="6">
        <v>3</v>
      </c>
      <c r="H10" s="17">
        <f t="shared" si="1"/>
        <v>17.647058823529413</v>
      </c>
    </row>
    <row r="11" spans="1:8" ht="18.75" x14ac:dyDescent="0.25">
      <c r="A11" s="2">
        <v>7</v>
      </c>
      <c r="B11" s="7" t="s">
        <v>11</v>
      </c>
      <c r="C11" s="12">
        <v>16</v>
      </c>
      <c r="D11" s="12">
        <v>10</v>
      </c>
      <c r="E11" s="17">
        <f t="shared" si="0"/>
        <v>62.5</v>
      </c>
      <c r="F11" s="12">
        <v>17</v>
      </c>
      <c r="G11" s="5">
        <v>10</v>
      </c>
      <c r="H11" s="17">
        <f t="shared" si="1"/>
        <v>58.823529411764703</v>
      </c>
    </row>
    <row r="12" spans="1:8" ht="18.75" x14ac:dyDescent="0.25">
      <c r="A12" s="2">
        <v>8</v>
      </c>
      <c r="B12" s="7" t="s">
        <v>12</v>
      </c>
      <c r="C12" s="12">
        <v>16</v>
      </c>
      <c r="D12" s="12">
        <v>15</v>
      </c>
      <c r="E12" s="17">
        <f t="shared" si="0"/>
        <v>93.75</v>
      </c>
      <c r="F12" s="12">
        <v>17</v>
      </c>
      <c r="G12" s="6">
        <v>9</v>
      </c>
      <c r="H12" s="17">
        <f t="shared" si="1"/>
        <v>52.941176470588232</v>
      </c>
    </row>
    <row r="13" spans="1:8" ht="18.75" x14ac:dyDescent="0.25">
      <c r="A13" s="2">
        <v>9</v>
      </c>
      <c r="B13" s="7" t="s">
        <v>13</v>
      </c>
      <c r="C13" s="12">
        <v>16</v>
      </c>
      <c r="D13" s="12">
        <v>11</v>
      </c>
      <c r="E13" s="17">
        <f t="shared" si="0"/>
        <v>68.75</v>
      </c>
      <c r="F13" s="12">
        <v>17</v>
      </c>
      <c r="G13" s="5">
        <v>13</v>
      </c>
      <c r="H13" s="17">
        <f t="shared" si="1"/>
        <v>76.470588235294116</v>
      </c>
    </row>
    <row r="14" spans="1:8" ht="18.75" x14ac:dyDescent="0.25">
      <c r="A14" s="2">
        <v>10</v>
      </c>
      <c r="B14" s="7" t="s">
        <v>14</v>
      </c>
      <c r="C14" s="12">
        <v>16</v>
      </c>
      <c r="D14" s="12">
        <v>9</v>
      </c>
      <c r="E14" s="17">
        <f t="shared" si="0"/>
        <v>56.25</v>
      </c>
      <c r="F14" s="12">
        <v>17</v>
      </c>
      <c r="G14" s="6">
        <v>9</v>
      </c>
      <c r="H14" s="17">
        <f t="shared" si="1"/>
        <v>52.941176470588232</v>
      </c>
    </row>
    <row r="15" spans="1:8" ht="18.75" x14ac:dyDescent="0.25">
      <c r="A15" s="2">
        <v>11</v>
      </c>
      <c r="B15" s="7" t="s">
        <v>15</v>
      </c>
      <c r="C15" s="12">
        <v>16</v>
      </c>
      <c r="D15" s="12">
        <v>13</v>
      </c>
      <c r="E15" s="17">
        <f t="shared" si="0"/>
        <v>81.25</v>
      </c>
      <c r="F15" s="12">
        <v>17</v>
      </c>
      <c r="G15" s="6">
        <v>13</v>
      </c>
      <c r="H15" s="17">
        <f t="shared" si="1"/>
        <v>76.470588235294116</v>
      </c>
    </row>
    <row r="16" spans="1:8" ht="18.75" x14ac:dyDescent="0.25">
      <c r="A16" s="2">
        <v>12</v>
      </c>
      <c r="B16" s="7" t="s">
        <v>16</v>
      </c>
      <c r="C16" s="12">
        <v>16</v>
      </c>
      <c r="D16" s="12">
        <v>9</v>
      </c>
      <c r="E16" s="17">
        <f t="shared" si="0"/>
        <v>56.25</v>
      </c>
      <c r="F16" s="12">
        <v>17</v>
      </c>
      <c r="G16" s="5">
        <v>0</v>
      </c>
      <c r="H16" s="17">
        <f t="shared" si="1"/>
        <v>0</v>
      </c>
    </row>
    <row r="17" spans="1:8" ht="18.75" x14ac:dyDescent="0.25">
      <c r="A17" s="2">
        <v>13</v>
      </c>
      <c r="B17" s="7" t="s">
        <v>17</v>
      </c>
      <c r="C17" s="12">
        <v>16</v>
      </c>
      <c r="D17" s="12">
        <v>11</v>
      </c>
      <c r="E17" s="17">
        <f t="shared" si="0"/>
        <v>68.75</v>
      </c>
      <c r="F17" s="12">
        <v>17</v>
      </c>
      <c r="G17" s="6">
        <v>12</v>
      </c>
      <c r="H17" s="17">
        <f t="shared" si="1"/>
        <v>70.588235294117652</v>
      </c>
    </row>
    <row r="18" spans="1:8" ht="18" x14ac:dyDescent="0.3">
      <c r="A18" s="2">
        <v>14</v>
      </c>
      <c r="B18" s="7" t="s">
        <v>18</v>
      </c>
      <c r="C18" s="12">
        <v>16</v>
      </c>
      <c r="D18" s="12">
        <v>13</v>
      </c>
      <c r="E18" s="17">
        <f t="shared" si="0"/>
        <v>81.25</v>
      </c>
      <c r="F18" s="12">
        <v>17</v>
      </c>
      <c r="G18" s="6">
        <v>14</v>
      </c>
      <c r="H18" s="17">
        <f t="shared" si="1"/>
        <v>82.352941176470594</v>
      </c>
    </row>
    <row r="19" spans="1:8" ht="18" x14ac:dyDescent="0.3">
      <c r="A19" s="2">
        <v>15</v>
      </c>
      <c r="B19" s="7" t="s">
        <v>19</v>
      </c>
      <c r="C19" s="12">
        <v>16</v>
      </c>
      <c r="D19" s="12">
        <v>11</v>
      </c>
      <c r="E19" s="17">
        <f t="shared" si="0"/>
        <v>68.75</v>
      </c>
      <c r="F19" s="12">
        <v>17</v>
      </c>
      <c r="G19" s="5">
        <v>9</v>
      </c>
      <c r="H19" s="17">
        <f t="shared" si="1"/>
        <v>52.941176470588232</v>
      </c>
    </row>
    <row r="20" spans="1:8" ht="18" x14ac:dyDescent="0.3">
      <c r="A20" s="2">
        <v>16</v>
      </c>
      <c r="B20" s="7" t="s">
        <v>71</v>
      </c>
      <c r="C20" s="12">
        <v>16</v>
      </c>
      <c r="D20" s="12">
        <v>8</v>
      </c>
      <c r="E20" s="17">
        <f t="shared" si="0"/>
        <v>50</v>
      </c>
      <c r="F20" s="12">
        <v>17</v>
      </c>
      <c r="G20" s="6">
        <v>5</v>
      </c>
      <c r="H20" s="17">
        <f t="shared" si="1"/>
        <v>29.411764705882351</v>
      </c>
    </row>
    <row r="21" spans="1:8" ht="18" x14ac:dyDescent="0.3">
      <c r="A21" s="2">
        <v>17</v>
      </c>
      <c r="B21" s="7" t="s">
        <v>20</v>
      </c>
      <c r="C21" s="12">
        <v>16</v>
      </c>
      <c r="D21" s="12">
        <v>14</v>
      </c>
      <c r="E21" s="17">
        <f t="shared" si="0"/>
        <v>87.5</v>
      </c>
      <c r="F21" s="12">
        <v>17</v>
      </c>
      <c r="G21" s="5">
        <v>17</v>
      </c>
      <c r="H21" s="17">
        <f t="shared" si="1"/>
        <v>100</v>
      </c>
    </row>
    <row r="22" spans="1:8" ht="18" x14ac:dyDescent="0.3">
      <c r="A22" s="2">
        <v>18</v>
      </c>
      <c r="B22" s="7" t="s">
        <v>21</v>
      </c>
      <c r="C22" s="12">
        <v>16</v>
      </c>
      <c r="D22" s="12">
        <v>8</v>
      </c>
      <c r="E22" s="17">
        <f t="shared" si="0"/>
        <v>50</v>
      </c>
      <c r="F22" s="12">
        <v>17</v>
      </c>
      <c r="G22" s="6">
        <v>3</v>
      </c>
      <c r="H22" s="17">
        <f t="shared" si="1"/>
        <v>17.647058823529413</v>
      </c>
    </row>
    <row r="23" spans="1:8" ht="18" x14ac:dyDescent="0.3">
      <c r="A23" s="2">
        <v>19</v>
      </c>
      <c r="B23" s="7" t="s">
        <v>22</v>
      </c>
      <c r="C23" s="12">
        <v>16</v>
      </c>
      <c r="D23" s="12">
        <v>9</v>
      </c>
      <c r="E23" s="17">
        <f t="shared" si="0"/>
        <v>56.25</v>
      </c>
      <c r="F23" s="12">
        <v>17</v>
      </c>
      <c r="G23" s="5">
        <v>8</v>
      </c>
      <c r="H23" s="17">
        <f t="shared" si="1"/>
        <v>47.058823529411768</v>
      </c>
    </row>
    <row r="24" spans="1:8" ht="18" x14ac:dyDescent="0.3">
      <c r="A24" s="2">
        <v>20</v>
      </c>
      <c r="B24" s="7" t="s">
        <v>23</v>
      </c>
      <c r="C24" s="12">
        <v>16</v>
      </c>
      <c r="D24" s="12">
        <v>13</v>
      </c>
      <c r="E24" s="17">
        <f t="shared" si="0"/>
        <v>81.25</v>
      </c>
      <c r="F24" s="12">
        <v>17</v>
      </c>
      <c r="G24" s="6">
        <v>13</v>
      </c>
      <c r="H24" s="17">
        <f t="shared" si="1"/>
        <v>76.470588235294116</v>
      </c>
    </row>
    <row r="25" spans="1:8" ht="18" x14ac:dyDescent="0.3">
      <c r="A25" s="2">
        <v>21</v>
      </c>
      <c r="B25" s="7" t="s">
        <v>24</v>
      </c>
      <c r="C25" s="12">
        <v>16</v>
      </c>
      <c r="D25" s="12">
        <v>10</v>
      </c>
      <c r="E25" s="17">
        <f t="shared" si="0"/>
        <v>62.5</v>
      </c>
      <c r="F25" s="12">
        <v>17</v>
      </c>
      <c r="G25" s="5">
        <v>16</v>
      </c>
      <c r="H25" s="17">
        <f t="shared" si="1"/>
        <v>94.117647058823536</v>
      </c>
    </row>
    <row r="26" spans="1:8" ht="18" x14ac:dyDescent="0.3">
      <c r="A26" s="2">
        <v>22</v>
      </c>
      <c r="B26" s="7" t="s">
        <v>25</v>
      </c>
      <c r="C26" s="12">
        <v>16</v>
      </c>
      <c r="D26" s="12">
        <v>13</v>
      </c>
      <c r="E26" s="17">
        <f t="shared" si="0"/>
        <v>81.25</v>
      </c>
      <c r="F26" s="12">
        <v>17</v>
      </c>
      <c r="G26" s="6">
        <v>14</v>
      </c>
      <c r="H26" s="17">
        <f t="shared" si="1"/>
        <v>82.352941176470594</v>
      </c>
    </row>
    <row r="27" spans="1:8" ht="18" x14ac:dyDescent="0.3">
      <c r="A27" s="2">
        <v>23</v>
      </c>
      <c r="B27" s="7" t="s">
        <v>26</v>
      </c>
      <c r="C27" s="12">
        <v>16</v>
      </c>
      <c r="D27" s="12">
        <v>9</v>
      </c>
      <c r="E27" s="17">
        <f t="shared" si="0"/>
        <v>56.25</v>
      </c>
      <c r="F27" s="12">
        <v>17</v>
      </c>
      <c r="G27" s="5">
        <v>12</v>
      </c>
      <c r="H27" s="17">
        <f t="shared" si="1"/>
        <v>70.588235294117652</v>
      </c>
    </row>
    <row r="28" spans="1:8" ht="18" x14ac:dyDescent="0.3">
      <c r="A28" s="2">
        <v>24</v>
      </c>
      <c r="B28" s="7" t="s">
        <v>27</v>
      </c>
      <c r="C28" s="12">
        <v>16</v>
      </c>
      <c r="D28" s="12">
        <v>10</v>
      </c>
      <c r="E28" s="17">
        <f t="shared" si="0"/>
        <v>62.5</v>
      </c>
      <c r="F28" s="12">
        <v>17</v>
      </c>
      <c r="G28" s="6">
        <v>10</v>
      </c>
      <c r="H28" s="17">
        <f t="shared" si="1"/>
        <v>58.823529411764703</v>
      </c>
    </row>
    <row r="29" spans="1:8" ht="18" x14ac:dyDescent="0.3">
      <c r="A29" s="2">
        <v>25</v>
      </c>
      <c r="B29" s="7" t="s">
        <v>28</v>
      </c>
      <c r="C29" s="12">
        <v>16</v>
      </c>
      <c r="D29" s="12">
        <v>11</v>
      </c>
      <c r="E29" s="17">
        <f t="shared" si="0"/>
        <v>68.75</v>
      </c>
      <c r="F29" s="12">
        <v>17</v>
      </c>
      <c r="G29" s="5">
        <v>10</v>
      </c>
      <c r="H29" s="17">
        <f t="shared" si="1"/>
        <v>58.823529411764703</v>
      </c>
    </row>
    <row r="30" spans="1:8" ht="18" x14ac:dyDescent="0.3">
      <c r="A30" s="2">
        <v>26</v>
      </c>
      <c r="B30" s="7" t="s">
        <v>29</v>
      </c>
      <c r="C30" s="12">
        <v>16</v>
      </c>
      <c r="D30" s="12">
        <v>10</v>
      </c>
      <c r="E30" s="17">
        <f t="shared" si="0"/>
        <v>62.5</v>
      </c>
      <c r="F30" s="12">
        <v>17</v>
      </c>
      <c r="G30" s="6">
        <v>8</v>
      </c>
      <c r="H30" s="17">
        <f t="shared" si="1"/>
        <v>47.058823529411768</v>
      </c>
    </row>
    <row r="31" spans="1:8" ht="18" x14ac:dyDescent="0.3">
      <c r="A31" s="2">
        <v>27</v>
      </c>
      <c r="B31" s="7" t="s">
        <v>30</v>
      </c>
      <c r="C31" s="12">
        <v>16</v>
      </c>
      <c r="D31" s="12">
        <v>10</v>
      </c>
      <c r="E31" s="17">
        <f t="shared" si="0"/>
        <v>62.5</v>
      </c>
      <c r="F31" s="12">
        <v>17</v>
      </c>
      <c r="G31" s="5">
        <v>12</v>
      </c>
      <c r="H31" s="17">
        <f t="shared" si="1"/>
        <v>70.588235294117652</v>
      </c>
    </row>
    <row r="32" spans="1:8" ht="18" x14ac:dyDescent="0.3">
      <c r="A32" s="2">
        <v>28</v>
      </c>
      <c r="B32" s="7" t="s">
        <v>31</v>
      </c>
      <c r="C32" s="12">
        <v>16</v>
      </c>
      <c r="D32" s="12">
        <v>14</v>
      </c>
      <c r="E32" s="17">
        <f t="shared" si="0"/>
        <v>87.5</v>
      </c>
      <c r="F32" s="12">
        <v>17</v>
      </c>
      <c r="G32" s="6">
        <v>10</v>
      </c>
      <c r="H32" s="17">
        <f t="shared" si="1"/>
        <v>58.823529411764703</v>
      </c>
    </row>
    <row r="33" spans="1:8" ht="18" x14ac:dyDescent="0.3">
      <c r="A33" s="2">
        <v>29</v>
      </c>
      <c r="B33" s="7" t="s">
        <v>32</v>
      </c>
      <c r="C33" s="12">
        <v>16</v>
      </c>
      <c r="D33" s="12">
        <v>13</v>
      </c>
      <c r="E33" s="17">
        <f t="shared" si="0"/>
        <v>81.25</v>
      </c>
      <c r="F33" s="12">
        <v>17</v>
      </c>
      <c r="G33" s="5">
        <v>17</v>
      </c>
      <c r="H33" s="17">
        <f t="shared" si="1"/>
        <v>100</v>
      </c>
    </row>
    <row r="34" spans="1:8" ht="18" x14ac:dyDescent="0.3">
      <c r="A34" s="2">
        <v>30</v>
      </c>
      <c r="B34" s="7" t="s">
        <v>33</v>
      </c>
      <c r="C34" s="12">
        <v>16</v>
      </c>
      <c r="D34" s="12">
        <v>11</v>
      </c>
      <c r="E34" s="17">
        <f t="shared" si="0"/>
        <v>68.75</v>
      </c>
      <c r="F34" s="12">
        <v>17</v>
      </c>
      <c r="G34" s="6">
        <v>14</v>
      </c>
      <c r="H34" s="17">
        <f t="shared" si="1"/>
        <v>82.352941176470594</v>
      </c>
    </row>
    <row r="35" spans="1:8" ht="18" x14ac:dyDescent="0.3">
      <c r="A35" s="2">
        <v>31</v>
      </c>
      <c r="B35" s="7" t="s">
        <v>34</v>
      </c>
      <c r="C35" s="12">
        <v>16</v>
      </c>
      <c r="D35" s="12">
        <v>12</v>
      </c>
      <c r="E35" s="17">
        <f t="shared" si="0"/>
        <v>75</v>
      </c>
      <c r="F35" s="12">
        <v>17</v>
      </c>
      <c r="G35" s="5">
        <v>9</v>
      </c>
      <c r="H35" s="17">
        <f t="shared" si="1"/>
        <v>52.941176470588232</v>
      </c>
    </row>
    <row r="36" spans="1:8" ht="18" x14ac:dyDescent="0.3">
      <c r="A36" s="2">
        <v>32</v>
      </c>
      <c r="B36" s="7" t="s">
        <v>35</v>
      </c>
      <c r="C36" s="12">
        <v>16</v>
      </c>
      <c r="D36" s="12">
        <v>11</v>
      </c>
      <c r="E36" s="17">
        <f t="shared" si="0"/>
        <v>68.75</v>
      </c>
      <c r="F36" s="12">
        <v>17</v>
      </c>
      <c r="G36" s="6">
        <v>5</v>
      </c>
      <c r="H36" s="17">
        <f t="shared" si="1"/>
        <v>29.411764705882351</v>
      </c>
    </row>
    <row r="37" spans="1:8" ht="18" x14ac:dyDescent="0.3">
      <c r="A37" s="2">
        <v>33</v>
      </c>
      <c r="B37" s="7" t="s">
        <v>36</v>
      </c>
      <c r="C37" s="12">
        <v>16</v>
      </c>
      <c r="D37" s="12">
        <v>14</v>
      </c>
      <c r="E37" s="17">
        <f t="shared" si="0"/>
        <v>87.5</v>
      </c>
      <c r="F37" s="12">
        <v>17</v>
      </c>
      <c r="G37" s="5">
        <v>9</v>
      </c>
      <c r="H37" s="17">
        <f t="shared" si="1"/>
        <v>52.941176470588232</v>
      </c>
    </row>
    <row r="38" spans="1:8" ht="18" x14ac:dyDescent="0.3">
      <c r="A38" s="2">
        <v>34</v>
      </c>
      <c r="B38" s="7" t="s">
        <v>37</v>
      </c>
      <c r="C38" s="12">
        <v>16</v>
      </c>
      <c r="D38" s="12">
        <v>9</v>
      </c>
      <c r="E38" s="17">
        <f t="shared" si="0"/>
        <v>56.25</v>
      </c>
      <c r="F38" s="12">
        <v>17</v>
      </c>
      <c r="G38" s="6">
        <v>0</v>
      </c>
      <c r="H38" s="17">
        <f t="shared" si="1"/>
        <v>0</v>
      </c>
    </row>
    <row r="39" spans="1:8" ht="18" x14ac:dyDescent="0.3">
      <c r="A39" s="2">
        <v>35</v>
      </c>
      <c r="B39" s="7" t="s">
        <v>67</v>
      </c>
      <c r="C39" s="12">
        <v>16</v>
      </c>
      <c r="D39" s="12">
        <v>13</v>
      </c>
      <c r="E39" s="17">
        <f t="shared" si="0"/>
        <v>81.25</v>
      </c>
      <c r="F39" s="12">
        <v>17</v>
      </c>
      <c r="G39" s="5">
        <v>9</v>
      </c>
      <c r="H39" s="17">
        <f t="shared" si="1"/>
        <v>52.941176470588232</v>
      </c>
    </row>
    <row r="40" spans="1:8" ht="18" x14ac:dyDescent="0.3">
      <c r="A40" s="2">
        <v>36</v>
      </c>
      <c r="B40" s="7" t="s">
        <v>38</v>
      </c>
      <c r="C40" s="12">
        <v>16</v>
      </c>
      <c r="D40" s="12">
        <v>12</v>
      </c>
      <c r="E40" s="17">
        <f t="shared" si="0"/>
        <v>75</v>
      </c>
      <c r="F40" s="12">
        <v>17</v>
      </c>
      <c r="G40" s="6">
        <v>13</v>
      </c>
      <c r="H40" s="17">
        <f t="shared" si="1"/>
        <v>76.470588235294116</v>
      </c>
    </row>
    <row r="41" spans="1:8" ht="18" x14ac:dyDescent="0.3">
      <c r="A41" s="2">
        <v>37</v>
      </c>
      <c r="B41" s="7" t="s">
        <v>39</v>
      </c>
      <c r="C41" s="12">
        <v>16</v>
      </c>
      <c r="D41" s="12">
        <v>14</v>
      </c>
      <c r="E41" s="17">
        <f t="shared" si="0"/>
        <v>87.5</v>
      </c>
      <c r="F41" s="12">
        <v>17</v>
      </c>
      <c r="G41" s="5">
        <v>17</v>
      </c>
      <c r="H41" s="17">
        <f t="shared" si="1"/>
        <v>100</v>
      </c>
    </row>
    <row r="42" spans="1:8" ht="18" x14ac:dyDescent="0.3">
      <c r="A42" s="2">
        <v>38</v>
      </c>
      <c r="B42" s="7" t="s">
        <v>40</v>
      </c>
      <c r="C42" s="12">
        <v>16</v>
      </c>
      <c r="D42" s="12">
        <v>16</v>
      </c>
      <c r="E42" s="17">
        <f t="shared" si="0"/>
        <v>100</v>
      </c>
      <c r="F42" s="12">
        <v>17</v>
      </c>
      <c r="G42" s="6">
        <v>16</v>
      </c>
      <c r="H42" s="17">
        <f t="shared" si="1"/>
        <v>94.117647058823536</v>
      </c>
    </row>
    <row r="43" spans="1:8" ht="18" x14ac:dyDescent="0.3">
      <c r="A43" s="2">
        <v>39</v>
      </c>
      <c r="B43" s="7" t="s">
        <v>41</v>
      </c>
      <c r="C43" s="12">
        <v>16</v>
      </c>
      <c r="D43" s="12">
        <v>14</v>
      </c>
      <c r="E43" s="17">
        <f t="shared" si="0"/>
        <v>87.5</v>
      </c>
      <c r="F43" s="12">
        <v>17</v>
      </c>
      <c r="G43" s="5">
        <v>7</v>
      </c>
      <c r="H43" s="17">
        <f t="shared" si="1"/>
        <v>41.176470588235297</v>
      </c>
    </row>
    <row r="44" spans="1:8" ht="18" x14ac:dyDescent="0.3">
      <c r="A44" s="2">
        <v>40</v>
      </c>
      <c r="B44" s="7" t="s">
        <v>42</v>
      </c>
      <c r="C44" s="12">
        <v>16</v>
      </c>
      <c r="D44" s="12">
        <v>11</v>
      </c>
      <c r="E44" s="17">
        <f t="shared" si="0"/>
        <v>68.75</v>
      </c>
      <c r="F44" s="12">
        <v>17</v>
      </c>
      <c r="G44" s="6">
        <v>13</v>
      </c>
      <c r="H44" s="17">
        <f t="shared" si="1"/>
        <v>76.470588235294116</v>
      </c>
    </row>
    <row r="45" spans="1:8" ht="18" x14ac:dyDescent="0.3">
      <c r="A45" s="2">
        <v>41</v>
      </c>
      <c r="B45" s="7" t="s">
        <v>43</v>
      </c>
      <c r="C45" s="12">
        <v>16</v>
      </c>
      <c r="D45" s="12">
        <v>13</v>
      </c>
      <c r="E45" s="17">
        <f t="shared" si="0"/>
        <v>81.25</v>
      </c>
      <c r="F45" s="12">
        <v>17</v>
      </c>
      <c r="G45" s="5">
        <v>12</v>
      </c>
      <c r="H45" s="17">
        <f t="shared" si="1"/>
        <v>70.588235294117652</v>
      </c>
    </row>
    <row r="46" spans="1:8" ht="18" x14ac:dyDescent="0.3">
      <c r="A46" s="2">
        <v>42</v>
      </c>
      <c r="B46" s="7" t="s">
        <v>44</v>
      </c>
      <c r="C46" s="12">
        <v>16</v>
      </c>
      <c r="D46" s="12">
        <v>13</v>
      </c>
      <c r="E46" s="17">
        <f t="shared" si="0"/>
        <v>81.25</v>
      </c>
      <c r="F46" s="12">
        <v>17</v>
      </c>
      <c r="G46" s="6">
        <v>17</v>
      </c>
      <c r="H46" s="17">
        <f t="shared" si="1"/>
        <v>100</v>
      </c>
    </row>
    <row r="47" spans="1:8" ht="18" x14ac:dyDescent="0.3">
      <c r="A47" s="2">
        <v>43</v>
      </c>
      <c r="B47" s="7" t="s">
        <v>45</v>
      </c>
      <c r="C47" s="12">
        <v>16</v>
      </c>
      <c r="D47" s="12">
        <v>14</v>
      </c>
      <c r="E47" s="17">
        <f t="shared" si="0"/>
        <v>87.5</v>
      </c>
      <c r="F47" s="12">
        <v>17</v>
      </c>
      <c r="G47" s="5">
        <v>12</v>
      </c>
      <c r="H47" s="17">
        <f t="shared" si="1"/>
        <v>70.588235294117652</v>
      </c>
    </row>
    <row r="48" spans="1:8" ht="18" x14ac:dyDescent="0.3">
      <c r="A48" s="2">
        <v>44</v>
      </c>
      <c r="B48" s="7" t="s">
        <v>46</v>
      </c>
      <c r="C48" s="12">
        <v>16</v>
      </c>
      <c r="D48" s="12">
        <v>8</v>
      </c>
      <c r="E48" s="17">
        <f t="shared" si="0"/>
        <v>50</v>
      </c>
      <c r="F48" s="12">
        <v>17</v>
      </c>
      <c r="G48" s="6">
        <v>7</v>
      </c>
      <c r="H48" s="17">
        <f t="shared" si="1"/>
        <v>41.176470588235297</v>
      </c>
    </row>
    <row r="49" spans="1:8" ht="18" x14ac:dyDescent="0.3">
      <c r="A49" s="2">
        <v>45</v>
      </c>
      <c r="B49" s="7" t="s">
        <v>47</v>
      </c>
      <c r="C49" s="12">
        <v>16</v>
      </c>
      <c r="D49" s="12">
        <v>11</v>
      </c>
      <c r="E49" s="17">
        <f t="shared" si="0"/>
        <v>68.75</v>
      </c>
      <c r="F49" s="12">
        <v>17</v>
      </c>
      <c r="G49" s="5">
        <v>14</v>
      </c>
      <c r="H49" s="17">
        <f t="shared" si="1"/>
        <v>82.352941176470594</v>
      </c>
    </row>
    <row r="50" spans="1:8" ht="18" x14ac:dyDescent="0.3">
      <c r="A50" s="2">
        <v>46</v>
      </c>
      <c r="B50" s="7" t="s">
        <v>48</v>
      </c>
      <c r="C50" s="12">
        <v>16</v>
      </c>
      <c r="D50" s="12">
        <v>9</v>
      </c>
      <c r="E50" s="17">
        <f t="shared" si="0"/>
        <v>56.25</v>
      </c>
      <c r="F50" s="12">
        <v>17</v>
      </c>
      <c r="G50" s="6">
        <v>15</v>
      </c>
      <c r="H50" s="17">
        <f t="shared" si="1"/>
        <v>88.235294117647058</v>
      </c>
    </row>
    <row r="51" spans="1:8" ht="18" x14ac:dyDescent="0.3">
      <c r="A51" s="2">
        <v>47</v>
      </c>
      <c r="B51" s="7" t="s">
        <v>49</v>
      </c>
      <c r="C51" s="12">
        <v>16</v>
      </c>
      <c r="D51" s="12">
        <v>11</v>
      </c>
      <c r="E51" s="17">
        <f t="shared" si="0"/>
        <v>68.75</v>
      </c>
      <c r="F51" s="12">
        <v>17</v>
      </c>
      <c r="G51" s="5">
        <v>16</v>
      </c>
      <c r="H51" s="17">
        <f t="shared" si="1"/>
        <v>94.117647058823536</v>
      </c>
    </row>
    <row r="52" spans="1:8" ht="18" x14ac:dyDescent="0.3">
      <c r="A52" s="2">
        <v>48</v>
      </c>
      <c r="B52" s="7" t="s">
        <v>50</v>
      </c>
      <c r="C52" s="12">
        <v>16</v>
      </c>
      <c r="D52" s="12">
        <v>11</v>
      </c>
      <c r="E52" s="17">
        <f t="shared" si="0"/>
        <v>68.75</v>
      </c>
      <c r="F52" s="12">
        <v>17</v>
      </c>
      <c r="G52" s="6">
        <v>11</v>
      </c>
      <c r="H52" s="17">
        <f t="shared" si="1"/>
        <v>64.705882352941174</v>
      </c>
    </row>
    <row r="53" spans="1:8" ht="18" x14ac:dyDescent="0.3">
      <c r="A53" s="2">
        <v>49</v>
      </c>
      <c r="B53" s="7" t="s">
        <v>51</v>
      </c>
      <c r="C53" s="12">
        <v>16</v>
      </c>
      <c r="D53" s="12">
        <v>9</v>
      </c>
      <c r="E53" s="17">
        <f t="shared" si="0"/>
        <v>56.25</v>
      </c>
      <c r="F53" s="12">
        <v>17</v>
      </c>
      <c r="G53" s="5">
        <v>14</v>
      </c>
      <c r="H53" s="17">
        <f t="shared" si="1"/>
        <v>82.352941176470594</v>
      </c>
    </row>
    <row r="54" spans="1:8" ht="18" x14ac:dyDescent="0.3">
      <c r="A54" s="2">
        <v>50</v>
      </c>
      <c r="B54" s="7" t="s">
        <v>52</v>
      </c>
      <c r="C54" s="12">
        <v>16</v>
      </c>
      <c r="D54" s="12">
        <v>7</v>
      </c>
      <c r="E54" s="17">
        <f t="shared" si="0"/>
        <v>43.75</v>
      </c>
      <c r="F54" s="12">
        <v>17</v>
      </c>
      <c r="G54" s="6">
        <v>16</v>
      </c>
      <c r="H54" s="17">
        <f t="shared" si="1"/>
        <v>94.117647058823536</v>
      </c>
    </row>
    <row r="55" spans="1:8" ht="18" x14ac:dyDescent="0.3">
      <c r="A55" s="2">
        <v>51</v>
      </c>
      <c r="B55" s="7" t="s">
        <v>53</v>
      </c>
      <c r="C55" s="12">
        <v>16</v>
      </c>
      <c r="D55" s="12">
        <v>14</v>
      </c>
      <c r="E55" s="17">
        <f t="shared" si="0"/>
        <v>87.5</v>
      </c>
      <c r="F55" s="12">
        <v>17</v>
      </c>
      <c r="G55" s="5">
        <v>11</v>
      </c>
      <c r="H55" s="17">
        <f t="shared" si="1"/>
        <v>64.705882352941174</v>
      </c>
    </row>
    <row r="56" spans="1:8" ht="18" x14ac:dyDescent="0.3">
      <c r="A56" s="2">
        <v>52</v>
      </c>
      <c r="B56" s="7" t="s">
        <v>54</v>
      </c>
      <c r="C56" s="12">
        <v>16</v>
      </c>
      <c r="D56" s="12">
        <v>10</v>
      </c>
      <c r="E56" s="17">
        <f t="shared" si="0"/>
        <v>62.5</v>
      </c>
      <c r="F56" s="12">
        <v>17</v>
      </c>
      <c r="G56" s="6">
        <v>13</v>
      </c>
      <c r="H56" s="17">
        <f t="shared" si="1"/>
        <v>76.470588235294116</v>
      </c>
    </row>
    <row r="57" spans="1:8" ht="18" x14ac:dyDescent="0.3">
      <c r="A57" s="2">
        <v>53</v>
      </c>
      <c r="B57" s="7" t="s">
        <v>55</v>
      </c>
      <c r="C57" s="12">
        <v>16</v>
      </c>
      <c r="D57" s="12">
        <v>12</v>
      </c>
      <c r="E57" s="17">
        <f t="shared" si="0"/>
        <v>75</v>
      </c>
      <c r="F57" s="12">
        <v>17</v>
      </c>
      <c r="G57" s="5">
        <v>13</v>
      </c>
      <c r="H57" s="17">
        <f t="shared" si="1"/>
        <v>76.470588235294116</v>
      </c>
    </row>
    <row r="58" spans="1:8" ht="18" x14ac:dyDescent="0.3">
      <c r="A58" s="2">
        <v>54</v>
      </c>
      <c r="B58" s="7" t="s">
        <v>56</v>
      </c>
      <c r="C58" s="12">
        <v>16</v>
      </c>
      <c r="D58" s="12">
        <v>13</v>
      </c>
      <c r="E58" s="17">
        <f t="shared" si="0"/>
        <v>81.25</v>
      </c>
      <c r="F58" s="12">
        <v>17</v>
      </c>
      <c r="G58" s="6">
        <v>15</v>
      </c>
      <c r="H58" s="17">
        <f t="shared" si="1"/>
        <v>88.235294117647058</v>
      </c>
    </row>
    <row r="59" spans="1:8" ht="18" x14ac:dyDescent="0.3">
      <c r="A59" s="2">
        <v>55</v>
      </c>
      <c r="B59" s="7" t="s">
        <v>57</v>
      </c>
      <c r="C59" s="12">
        <v>16</v>
      </c>
      <c r="D59" s="12">
        <v>13</v>
      </c>
      <c r="E59" s="17">
        <f t="shared" si="0"/>
        <v>81.25</v>
      </c>
      <c r="F59" s="12">
        <v>17</v>
      </c>
      <c r="G59" s="5">
        <v>17</v>
      </c>
      <c r="H59" s="17">
        <f t="shared" si="1"/>
        <v>100</v>
      </c>
    </row>
    <row r="60" spans="1:8" ht="18" x14ac:dyDescent="0.3">
      <c r="A60" s="2">
        <v>56</v>
      </c>
      <c r="B60" s="7" t="s">
        <v>58</v>
      </c>
      <c r="C60" s="12">
        <v>16</v>
      </c>
      <c r="D60" s="12">
        <v>7</v>
      </c>
      <c r="E60" s="17">
        <f t="shared" si="0"/>
        <v>43.75</v>
      </c>
      <c r="F60" s="12">
        <v>17</v>
      </c>
      <c r="G60" s="6">
        <v>1</v>
      </c>
      <c r="H60" s="17">
        <f t="shared" si="1"/>
        <v>5.882352941176471</v>
      </c>
    </row>
    <row r="61" spans="1:8" ht="18" x14ac:dyDescent="0.3">
      <c r="A61" s="2">
        <v>57</v>
      </c>
      <c r="B61" s="7" t="s">
        <v>59</v>
      </c>
      <c r="C61" s="12">
        <v>16</v>
      </c>
      <c r="D61" s="12">
        <v>8</v>
      </c>
      <c r="E61" s="17">
        <f t="shared" si="0"/>
        <v>50</v>
      </c>
      <c r="F61" s="12">
        <v>17</v>
      </c>
      <c r="G61" s="5">
        <v>8</v>
      </c>
      <c r="H61" s="17">
        <f t="shared" si="1"/>
        <v>47.058823529411768</v>
      </c>
    </row>
    <row r="62" spans="1:8" ht="31.2" x14ac:dyDescent="0.3">
      <c r="A62" s="2">
        <v>58</v>
      </c>
      <c r="B62" s="7" t="s">
        <v>60</v>
      </c>
      <c r="C62" s="12">
        <v>16</v>
      </c>
      <c r="D62" s="12">
        <v>12</v>
      </c>
      <c r="E62" s="17">
        <f t="shared" si="0"/>
        <v>75</v>
      </c>
      <c r="F62" s="12">
        <v>17</v>
      </c>
      <c r="G62" s="6">
        <v>14</v>
      </c>
      <c r="H62" s="17">
        <f t="shared" si="1"/>
        <v>82.352941176470594</v>
      </c>
    </row>
    <row r="63" spans="1:8" ht="31.2" x14ac:dyDescent="0.3">
      <c r="A63" s="2">
        <v>59</v>
      </c>
      <c r="B63" s="8" t="s">
        <v>61</v>
      </c>
      <c r="C63" s="12">
        <v>16</v>
      </c>
      <c r="D63" s="12">
        <v>11</v>
      </c>
      <c r="E63" s="17">
        <f t="shared" si="0"/>
        <v>68.75</v>
      </c>
      <c r="F63" s="12">
        <v>17</v>
      </c>
      <c r="G63" s="5">
        <v>17</v>
      </c>
      <c r="H63" s="17">
        <f t="shared" si="1"/>
        <v>100</v>
      </c>
    </row>
    <row r="64" spans="1:8" ht="18" x14ac:dyDescent="0.3">
      <c r="A64" s="2">
        <v>60</v>
      </c>
      <c r="B64" s="9" t="s">
        <v>62</v>
      </c>
      <c r="C64" s="12">
        <v>16</v>
      </c>
      <c r="D64" s="12">
        <v>14</v>
      </c>
      <c r="E64" s="17">
        <f t="shared" si="0"/>
        <v>87.5</v>
      </c>
      <c r="F64" s="12">
        <v>17</v>
      </c>
      <c r="G64" s="6">
        <v>16</v>
      </c>
      <c r="H64" s="17">
        <f t="shared" si="1"/>
        <v>94.117647058823536</v>
      </c>
    </row>
  </sheetData>
  <mergeCells count="4">
    <mergeCell ref="C3:E3"/>
    <mergeCell ref="F3:H3"/>
    <mergeCell ref="A2:H2"/>
    <mergeCell ref="A1:H1"/>
  </mergeCells>
  <pageMargins left="0.7" right="0.12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H9" sqref="H9"/>
    </sheetView>
  </sheetViews>
  <sheetFormatPr defaultRowHeight="14.4" x14ac:dyDescent="0.3"/>
  <cols>
    <col min="2" max="2" width="30.6640625" customWidth="1"/>
    <col min="5" max="5" width="15.6640625" bestFit="1" customWidth="1"/>
  </cols>
  <sheetData>
    <row r="1" spans="1:5" s="1" customFormat="1" ht="87" customHeight="1" x14ac:dyDescent="0.25">
      <c r="A1" s="101" t="s">
        <v>0</v>
      </c>
      <c r="B1" s="101"/>
      <c r="C1" s="101"/>
      <c r="D1" s="101"/>
      <c r="E1" s="101"/>
    </row>
    <row r="2" spans="1:5" s="1" customFormat="1" ht="26.25" x14ac:dyDescent="0.25">
      <c r="A2" s="102" t="s">
        <v>63</v>
      </c>
      <c r="B2" s="102"/>
      <c r="C2" s="102"/>
      <c r="D2" s="102"/>
      <c r="E2" s="102"/>
    </row>
    <row r="3" spans="1:5" ht="21" x14ac:dyDescent="0.25">
      <c r="A3" s="107" t="s">
        <v>79</v>
      </c>
      <c r="B3" s="108"/>
      <c r="C3" s="108"/>
      <c r="D3" s="109"/>
      <c r="E3" s="26"/>
    </row>
    <row r="4" spans="1:5" ht="45" x14ac:dyDescent="0.25">
      <c r="A4" s="19" t="s">
        <v>1</v>
      </c>
      <c r="B4" s="4" t="s">
        <v>2</v>
      </c>
      <c r="C4" s="3" t="s">
        <v>3</v>
      </c>
      <c r="D4" s="3" t="s">
        <v>4</v>
      </c>
      <c r="E4" s="3" t="s">
        <v>73</v>
      </c>
    </row>
    <row r="5" spans="1:5" ht="18.75" x14ac:dyDescent="0.25">
      <c r="A5" s="10">
        <v>1</v>
      </c>
      <c r="B5" s="11" t="s">
        <v>5</v>
      </c>
      <c r="C5" s="12">
        <v>27</v>
      </c>
      <c r="D5" s="12">
        <v>17</v>
      </c>
      <c r="E5" s="12"/>
    </row>
    <row r="6" spans="1:5" ht="18.75" x14ac:dyDescent="0.25">
      <c r="A6" s="2">
        <v>2</v>
      </c>
      <c r="B6" s="7" t="s">
        <v>6</v>
      </c>
      <c r="C6" s="12">
        <v>27</v>
      </c>
      <c r="D6" s="12">
        <v>17</v>
      </c>
      <c r="E6" s="12">
        <v>100</v>
      </c>
    </row>
    <row r="7" spans="1:5" ht="18.75" x14ac:dyDescent="0.25">
      <c r="A7" s="2">
        <v>3</v>
      </c>
      <c r="B7" s="7" t="s">
        <v>7</v>
      </c>
      <c r="C7" s="12">
        <v>27</v>
      </c>
      <c r="D7" s="12">
        <v>17</v>
      </c>
      <c r="E7" s="12">
        <v>100</v>
      </c>
    </row>
    <row r="8" spans="1:5" ht="18.75" x14ac:dyDescent="0.25">
      <c r="A8" s="2">
        <v>4</v>
      </c>
      <c r="B8" s="7" t="s">
        <v>8</v>
      </c>
      <c r="C8" s="12">
        <v>27</v>
      </c>
      <c r="D8" s="12">
        <v>17</v>
      </c>
      <c r="E8" s="12">
        <v>100</v>
      </c>
    </row>
    <row r="9" spans="1:5" ht="18.75" x14ac:dyDescent="0.25">
      <c r="A9" s="2">
        <v>5</v>
      </c>
      <c r="B9" s="7" t="s">
        <v>9</v>
      </c>
      <c r="C9" s="12">
        <v>27</v>
      </c>
      <c r="D9" s="12">
        <v>17</v>
      </c>
      <c r="E9" s="12">
        <v>100</v>
      </c>
    </row>
    <row r="10" spans="1:5" ht="18.75" x14ac:dyDescent="0.25">
      <c r="A10" s="2">
        <v>6</v>
      </c>
      <c r="B10" s="7" t="s">
        <v>10</v>
      </c>
      <c r="C10" s="12">
        <v>27</v>
      </c>
      <c r="D10" s="12">
        <v>17</v>
      </c>
      <c r="E10" s="12">
        <v>100</v>
      </c>
    </row>
    <row r="11" spans="1:5" ht="18.75" x14ac:dyDescent="0.25">
      <c r="A11" s="2">
        <v>7</v>
      </c>
      <c r="B11" s="7" t="s">
        <v>11</v>
      </c>
      <c r="C11" s="12">
        <v>27</v>
      </c>
      <c r="D11" s="12">
        <v>17</v>
      </c>
      <c r="E11" s="12">
        <v>100</v>
      </c>
    </row>
    <row r="12" spans="1:5" ht="18.75" x14ac:dyDescent="0.25">
      <c r="A12" s="2">
        <v>8</v>
      </c>
      <c r="B12" s="7" t="s">
        <v>12</v>
      </c>
      <c r="C12" s="12">
        <v>27</v>
      </c>
      <c r="D12" s="12">
        <v>17</v>
      </c>
      <c r="E12" s="12">
        <v>100</v>
      </c>
    </row>
    <row r="13" spans="1:5" ht="18.75" x14ac:dyDescent="0.25">
      <c r="A13" s="2">
        <v>9</v>
      </c>
      <c r="B13" s="7" t="s">
        <v>13</v>
      </c>
      <c r="C13" s="12">
        <v>27</v>
      </c>
      <c r="D13" s="12">
        <v>17</v>
      </c>
      <c r="E13" s="12">
        <v>100</v>
      </c>
    </row>
    <row r="14" spans="1:5" ht="18.75" x14ac:dyDescent="0.25">
      <c r="A14" s="2">
        <v>10</v>
      </c>
      <c r="B14" s="7" t="s">
        <v>14</v>
      </c>
      <c r="C14" s="12">
        <v>27</v>
      </c>
      <c r="D14" s="12">
        <v>17</v>
      </c>
      <c r="E14" s="12">
        <v>100</v>
      </c>
    </row>
    <row r="15" spans="1:5" ht="18.75" x14ac:dyDescent="0.25">
      <c r="A15" s="2">
        <v>11</v>
      </c>
      <c r="B15" s="7" t="s">
        <v>15</v>
      </c>
      <c r="C15" s="12">
        <v>27</v>
      </c>
      <c r="D15" s="12">
        <v>17</v>
      </c>
      <c r="E15" s="12">
        <v>100</v>
      </c>
    </row>
    <row r="16" spans="1:5" ht="18.75" x14ac:dyDescent="0.25">
      <c r="A16" s="2">
        <v>12</v>
      </c>
      <c r="B16" s="7" t="s">
        <v>16</v>
      </c>
      <c r="C16" s="12">
        <v>27</v>
      </c>
      <c r="D16" s="12">
        <v>17</v>
      </c>
      <c r="E16" s="12">
        <v>100</v>
      </c>
    </row>
    <row r="17" spans="1:5" ht="18.75" x14ac:dyDescent="0.25">
      <c r="A17" s="2">
        <v>13</v>
      </c>
      <c r="B17" s="7" t="s">
        <v>17</v>
      </c>
      <c r="C17" s="12">
        <v>27</v>
      </c>
      <c r="D17" s="12">
        <v>17</v>
      </c>
      <c r="E17" s="12">
        <v>100</v>
      </c>
    </row>
    <row r="18" spans="1:5" ht="18.75" x14ac:dyDescent="0.25">
      <c r="A18" s="2">
        <v>14</v>
      </c>
      <c r="B18" s="7" t="s">
        <v>18</v>
      </c>
      <c r="C18" s="12">
        <v>27</v>
      </c>
      <c r="D18" s="12">
        <v>17</v>
      </c>
      <c r="E18" s="12">
        <v>100</v>
      </c>
    </row>
    <row r="19" spans="1:5" ht="18" x14ac:dyDescent="0.3">
      <c r="A19" s="2">
        <v>15</v>
      </c>
      <c r="B19" s="7" t="s">
        <v>19</v>
      </c>
      <c r="C19" s="12">
        <v>27</v>
      </c>
      <c r="D19" s="12">
        <v>17</v>
      </c>
      <c r="E19" s="12">
        <v>100</v>
      </c>
    </row>
    <row r="20" spans="1:5" ht="18" x14ac:dyDescent="0.3">
      <c r="A20" s="2">
        <v>16</v>
      </c>
      <c r="B20" s="7" t="s">
        <v>71</v>
      </c>
      <c r="C20" s="12">
        <v>27</v>
      </c>
      <c r="D20" s="12">
        <v>17</v>
      </c>
      <c r="E20" s="12">
        <v>100</v>
      </c>
    </row>
    <row r="21" spans="1:5" ht="18" x14ac:dyDescent="0.3">
      <c r="A21" s="2">
        <v>17</v>
      </c>
      <c r="B21" s="7" t="s">
        <v>20</v>
      </c>
      <c r="C21" s="12">
        <v>27</v>
      </c>
      <c r="D21" s="12">
        <v>17</v>
      </c>
      <c r="E21" s="12">
        <v>100</v>
      </c>
    </row>
    <row r="22" spans="1:5" ht="18" x14ac:dyDescent="0.3">
      <c r="A22" s="2">
        <v>18</v>
      </c>
      <c r="B22" s="7" t="s">
        <v>21</v>
      </c>
      <c r="C22" s="12">
        <v>27</v>
      </c>
      <c r="D22" s="12">
        <v>17</v>
      </c>
      <c r="E22" s="12">
        <v>100</v>
      </c>
    </row>
    <row r="23" spans="1:5" ht="18" x14ac:dyDescent="0.3">
      <c r="A23" s="2">
        <v>19</v>
      </c>
      <c r="B23" s="7" t="s">
        <v>22</v>
      </c>
      <c r="C23" s="12">
        <v>27</v>
      </c>
      <c r="D23" s="12">
        <v>17</v>
      </c>
      <c r="E23" s="12">
        <v>100</v>
      </c>
    </row>
    <row r="24" spans="1:5" ht="18" x14ac:dyDescent="0.3">
      <c r="A24" s="2">
        <v>20</v>
      </c>
      <c r="B24" s="7" t="s">
        <v>23</v>
      </c>
      <c r="C24" s="12">
        <v>27</v>
      </c>
      <c r="D24" s="12">
        <v>17</v>
      </c>
      <c r="E24" s="12">
        <v>100</v>
      </c>
    </row>
    <row r="25" spans="1:5" ht="18" x14ac:dyDescent="0.3">
      <c r="A25" s="2">
        <v>21</v>
      </c>
      <c r="B25" s="7" t="s">
        <v>24</v>
      </c>
      <c r="C25" s="12">
        <v>27</v>
      </c>
      <c r="D25" s="12">
        <v>17</v>
      </c>
      <c r="E25" s="12">
        <v>100</v>
      </c>
    </row>
    <row r="26" spans="1:5" ht="18" x14ac:dyDescent="0.3">
      <c r="A26" s="2">
        <v>22</v>
      </c>
      <c r="B26" s="7" t="s">
        <v>25</v>
      </c>
      <c r="C26" s="12">
        <v>27</v>
      </c>
      <c r="D26" s="12">
        <v>17</v>
      </c>
      <c r="E26" s="12">
        <v>100</v>
      </c>
    </row>
    <row r="27" spans="1:5" ht="18" x14ac:dyDescent="0.3">
      <c r="A27" s="2">
        <v>23</v>
      </c>
      <c r="B27" s="7" t="s">
        <v>26</v>
      </c>
      <c r="C27" s="12">
        <v>27</v>
      </c>
      <c r="D27" s="12">
        <v>17</v>
      </c>
      <c r="E27" s="12">
        <v>100</v>
      </c>
    </row>
    <row r="28" spans="1:5" ht="18" x14ac:dyDescent="0.3">
      <c r="A28" s="2">
        <v>24</v>
      </c>
      <c r="B28" s="7" t="s">
        <v>27</v>
      </c>
      <c r="C28" s="12">
        <v>27</v>
      </c>
      <c r="D28" s="12">
        <v>17</v>
      </c>
      <c r="E28" s="12">
        <v>100</v>
      </c>
    </row>
    <row r="29" spans="1:5" ht="18" x14ac:dyDescent="0.3">
      <c r="A29" s="2">
        <v>25</v>
      </c>
      <c r="B29" s="7" t="s">
        <v>28</v>
      </c>
      <c r="C29" s="12">
        <v>27</v>
      </c>
      <c r="D29" s="12">
        <v>17</v>
      </c>
      <c r="E29" s="12">
        <v>100</v>
      </c>
    </row>
    <row r="30" spans="1:5" ht="18" x14ac:dyDescent="0.3">
      <c r="A30" s="2">
        <v>26</v>
      </c>
      <c r="B30" s="7" t="s">
        <v>29</v>
      </c>
      <c r="C30" s="12">
        <v>27</v>
      </c>
      <c r="D30" s="12">
        <v>17</v>
      </c>
      <c r="E30" s="12">
        <v>100</v>
      </c>
    </row>
    <row r="31" spans="1:5" ht="18" x14ac:dyDescent="0.3">
      <c r="A31" s="2">
        <v>27</v>
      </c>
      <c r="B31" s="7" t="s">
        <v>30</v>
      </c>
      <c r="C31" s="12">
        <v>27</v>
      </c>
      <c r="D31" s="12">
        <v>17</v>
      </c>
      <c r="E31" s="12">
        <v>100</v>
      </c>
    </row>
    <row r="32" spans="1:5" ht="18" x14ac:dyDescent="0.3">
      <c r="A32" s="2">
        <v>28</v>
      </c>
      <c r="B32" s="7" t="s">
        <v>31</v>
      </c>
      <c r="C32" s="12">
        <v>27</v>
      </c>
      <c r="D32" s="12">
        <v>17</v>
      </c>
      <c r="E32" s="12">
        <v>100</v>
      </c>
    </row>
    <row r="33" spans="1:5" ht="18" x14ac:dyDescent="0.3">
      <c r="A33" s="2">
        <v>29</v>
      </c>
      <c r="B33" s="7" t="s">
        <v>32</v>
      </c>
      <c r="C33" s="12">
        <v>27</v>
      </c>
      <c r="D33" s="12">
        <v>17</v>
      </c>
      <c r="E33" s="12">
        <v>100</v>
      </c>
    </row>
    <row r="34" spans="1:5" ht="18" x14ac:dyDescent="0.3">
      <c r="A34" s="2">
        <v>30</v>
      </c>
      <c r="B34" s="7" t="s">
        <v>33</v>
      </c>
      <c r="C34" s="12">
        <v>27</v>
      </c>
      <c r="D34" s="12">
        <v>17</v>
      </c>
      <c r="E34" s="12">
        <v>100</v>
      </c>
    </row>
    <row r="35" spans="1:5" ht="18" x14ac:dyDescent="0.3">
      <c r="A35" s="2">
        <v>31</v>
      </c>
      <c r="B35" s="7" t="s">
        <v>34</v>
      </c>
      <c r="C35" s="12">
        <v>27</v>
      </c>
      <c r="D35" s="12">
        <v>17</v>
      </c>
      <c r="E35" s="12">
        <v>100</v>
      </c>
    </row>
    <row r="36" spans="1:5" ht="18" x14ac:dyDescent="0.3">
      <c r="A36" s="2">
        <v>32</v>
      </c>
      <c r="B36" s="7" t="s">
        <v>35</v>
      </c>
      <c r="C36" s="12">
        <v>27</v>
      </c>
      <c r="D36" s="12">
        <v>17</v>
      </c>
      <c r="E36" s="12">
        <v>100</v>
      </c>
    </row>
    <row r="37" spans="1:5" ht="18" x14ac:dyDescent="0.3">
      <c r="A37" s="2">
        <v>33</v>
      </c>
      <c r="B37" s="7" t="s">
        <v>36</v>
      </c>
      <c r="C37" s="12">
        <v>27</v>
      </c>
      <c r="D37" s="12">
        <v>17</v>
      </c>
      <c r="E37" s="12">
        <v>100</v>
      </c>
    </row>
    <row r="38" spans="1:5" ht="18" x14ac:dyDescent="0.3">
      <c r="A38" s="2">
        <v>34</v>
      </c>
      <c r="B38" s="7" t="s">
        <v>37</v>
      </c>
      <c r="C38" s="12">
        <v>27</v>
      </c>
      <c r="D38" s="12">
        <v>17</v>
      </c>
      <c r="E38" s="12">
        <v>100</v>
      </c>
    </row>
    <row r="39" spans="1:5" ht="18" x14ac:dyDescent="0.3">
      <c r="A39" s="2">
        <v>35</v>
      </c>
      <c r="B39" s="7" t="s">
        <v>67</v>
      </c>
      <c r="C39" s="12">
        <v>27</v>
      </c>
      <c r="D39" s="12">
        <v>17</v>
      </c>
      <c r="E39" s="12">
        <v>100</v>
      </c>
    </row>
    <row r="40" spans="1:5" ht="18" x14ac:dyDescent="0.3">
      <c r="A40" s="2">
        <v>36</v>
      </c>
      <c r="B40" s="7" t="s">
        <v>38</v>
      </c>
      <c r="C40" s="12">
        <v>27</v>
      </c>
      <c r="D40" s="12">
        <v>17</v>
      </c>
      <c r="E40" s="12">
        <v>100</v>
      </c>
    </row>
    <row r="41" spans="1:5" ht="18" x14ac:dyDescent="0.3">
      <c r="A41" s="2">
        <v>37</v>
      </c>
      <c r="B41" s="7" t="s">
        <v>39</v>
      </c>
      <c r="C41" s="12">
        <v>27</v>
      </c>
      <c r="D41" s="12">
        <v>17</v>
      </c>
      <c r="E41" s="12">
        <v>100</v>
      </c>
    </row>
    <row r="42" spans="1:5" ht="18" x14ac:dyDescent="0.3">
      <c r="A42" s="2">
        <v>38</v>
      </c>
      <c r="B42" s="7" t="s">
        <v>40</v>
      </c>
      <c r="C42" s="12">
        <v>27</v>
      </c>
      <c r="D42" s="12">
        <v>17</v>
      </c>
      <c r="E42" s="12">
        <v>100</v>
      </c>
    </row>
    <row r="43" spans="1:5" ht="18" x14ac:dyDescent="0.3">
      <c r="A43" s="2">
        <v>39</v>
      </c>
      <c r="B43" s="7" t="s">
        <v>41</v>
      </c>
      <c r="C43" s="12">
        <v>27</v>
      </c>
      <c r="D43" s="12">
        <v>17</v>
      </c>
      <c r="E43" s="12">
        <v>100</v>
      </c>
    </row>
    <row r="44" spans="1:5" ht="18" x14ac:dyDescent="0.3">
      <c r="A44" s="2">
        <v>40</v>
      </c>
      <c r="B44" s="7" t="s">
        <v>42</v>
      </c>
      <c r="C44" s="12">
        <v>27</v>
      </c>
      <c r="D44" s="12">
        <v>17</v>
      </c>
      <c r="E44" s="12">
        <v>100</v>
      </c>
    </row>
    <row r="45" spans="1:5" ht="18" x14ac:dyDescent="0.3">
      <c r="A45" s="2">
        <v>41</v>
      </c>
      <c r="B45" s="7" t="s">
        <v>43</v>
      </c>
      <c r="C45" s="12">
        <v>27</v>
      </c>
      <c r="D45" s="12">
        <v>17</v>
      </c>
      <c r="E45" s="12">
        <v>100</v>
      </c>
    </row>
    <row r="46" spans="1:5" ht="18" x14ac:dyDescent="0.3">
      <c r="A46" s="2">
        <v>42</v>
      </c>
      <c r="B46" s="7" t="s">
        <v>44</v>
      </c>
      <c r="C46" s="12">
        <v>27</v>
      </c>
      <c r="D46" s="12">
        <v>17</v>
      </c>
      <c r="E46" s="12">
        <v>100</v>
      </c>
    </row>
    <row r="47" spans="1:5" ht="18" x14ac:dyDescent="0.3">
      <c r="A47" s="2">
        <v>43</v>
      </c>
      <c r="B47" s="7" t="s">
        <v>45</v>
      </c>
      <c r="C47" s="12">
        <v>27</v>
      </c>
      <c r="D47" s="12">
        <v>17</v>
      </c>
      <c r="E47" s="12">
        <v>100</v>
      </c>
    </row>
    <row r="48" spans="1:5" ht="18" x14ac:dyDescent="0.3">
      <c r="A48" s="2">
        <v>44</v>
      </c>
      <c r="B48" s="7" t="s">
        <v>46</v>
      </c>
      <c r="C48" s="12">
        <v>27</v>
      </c>
      <c r="D48" s="12">
        <v>17</v>
      </c>
      <c r="E48" s="12">
        <v>100</v>
      </c>
    </row>
    <row r="49" spans="1:5" ht="18" x14ac:dyDescent="0.3">
      <c r="A49" s="2">
        <v>45</v>
      </c>
      <c r="B49" s="7" t="s">
        <v>47</v>
      </c>
      <c r="C49" s="12">
        <v>27</v>
      </c>
      <c r="D49" s="12">
        <v>17</v>
      </c>
      <c r="E49" s="12">
        <v>100</v>
      </c>
    </row>
    <row r="50" spans="1:5" ht="18" x14ac:dyDescent="0.3">
      <c r="A50" s="2">
        <v>46</v>
      </c>
      <c r="B50" s="7" t="s">
        <v>48</v>
      </c>
      <c r="C50" s="12">
        <v>27</v>
      </c>
      <c r="D50" s="12">
        <v>17</v>
      </c>
      <c r="E50" s="12">
        <v>100</v>
      </c>
    </row>
    <row r="51" spans="1:5" ht="18" x14ac:dyDescent="0.3">
      <c r="A51" s="2">
        <v>47</v>
      </c>
      <c r="B51" s="7" t="s">
        <v>49</v>
      </c>
      <c r="C51" s="12">
        <v>27</v>
      </c>
      <c r="D51" s="12">
        <v>17</v>
      </c>
      <c r="E51" s="12">
        <v>100</v>
      </c>
    </row>
    <row r="52" spans="1:5" ht="18" x14ac:dyDescent="0.3">
      <c r="A52" s="2">
        <v>48</v>
      </c>
      <c r="B52" s="7" t="s">
        <v>50</v>
      </c>
      <c r="C52" s="12">
        <v>27</v>
      </c>
      <c r="D52" s="12">
        <v>17</v>
      </c>
      <c r="E52" s="12">
        <v>100</v>
      </c>
    </row>
    <row r="53" spans="1:5" ht="18" x14ac:dyDescent="0.3">
      <c r="A53" s="2">
        <v>49</v>
      </c>
      <c r="B53" s="7" t="s">
        <v>51</v>
      </c>
      <c r="C53" s="12">
        <v>27</v>
      </c>
      <c r="D53" s="12">
        <v>17</v>
      </c>
      <c r="E53" s="12">
        <v>100</v>
      </c>
    </row>
    <row r="54" spans="1:5" ht="18" x14ac:dyDescent="0.3">
      <c r="A54" s="2">
        <v>50</v>
      </c>
      <c r="B54" s="7" t="s">
        <v>52</v>
      </c>
      <c r="C54" s="12">
        <v>27</v>
      </c>
      <c r="D54" s="12">
        <v>17</v>
      </c>
      <c r="E54" s="12">
        <v>100</v>
      </c>
    </row>
    <row r="55" spans="1:5" ht="18" x14ac:dyDescent="0.3">
      <c r="A55" s="2">
        <v>51</v>
      </c>
      <c r="B55" s="7" t="s">
        <v>53</v>
      </c>
      <c r="C55" s="12">
        <v>27</v>
      </c>
      <c r="D55" s="12">
        <v>17</v>
      </c>
      <c r="E55" s="12">
        <v>100</v>
      </c>
    </row>
    <row r="56" spans="1:5" ht="18" x14ac:dyDescent="0.3">
      <c r="A56" s="2">
        <v>52</v>
      </c>
      <c r="B56" s="7" t="s">
        <v>54</v>
      </c>
      <c r="C56" s="12">
        <v>27</v>
      </c>
      <c r="D56" s="12">
        <v>17</v>
      </c>
      <c r="E56" s="12">
        <v>100</v>
      </c>
    </row>
    <row r="57" spans="1:5" ht="18" x14ac:dyDescent="0.3">
      <c r="A57" s="2">
        <v>53</v>
      </c>
      <c r="B57" s="7" t="s">
        <v>55</v>
      </c>
      <c r="C57" s="12">
        <v>27</v>
      </c>
      <c r="D57" s="12">
        <v>17</v>
      </c>
      <c r="E57" s="12">
        <v>100</v>
      </c>
    </row>
    <row r="58" spans="1:5" ht="18" x14ac:dyDescent="0.3">
      <c r="A58" s="2">
        <v>54</v>
      </c>
      <c r="B58" s="7" t="s">
        <v>56</v>
      </c>
      <c r="C58" s="12">
        <v>27</v>
      </c>
      <c r="D58" s="12">
        <v>17</v>
      </c>
      <c r="E58" s="12">
        <v>100</v>
      </c>
    </row>
    <row r="59" spans="1:5" ht="18" x14ac:dyDescent="0.3">
      <c r="A59" s="2">
        <v>55</v>
      </c>
      <c r="B59" s="7" t="s">
        <v>57</v>
      </c>
      <c r="C59" s="12">
        <v>27</v>
      </c>
      <c r="D59" s="12">
        <v>17</v>
      </c>
      <c r="E59" s="12">
        <v>100</v>
      </c>
    </row>
    <row r="60" spans="1:5" ht="18" x14ac:dyDescent="0.3">
      <c r="A60" s="2">
        <v>56</v>
      </c>
      <c r="B60" s="7" t="s">
        <v>58</v>
      </c>
      <c r="C60" s="12">
        <v>27</v>
      </c>
      <c r="D60" s="12">
        <v>17</v>
      </c>
      <c r="E60" s="12">
        <v>100</v>
      </c>
    </row>
    <row r="61" spans="1:5" ht="18" x14ac:dyDescent="0.3">
      <c r="A61" s="2">
        <v>57</v>
      </c>
      <c r="B61" s="7" t="s">
        <v>59</v>
      </c>
      <c r="C61" s="12">
        <v>27</v>
      </c>
      <c r="D61" s="12">
        <v>17</v>
      </c>
      <c r="E61" s="12">
        <v>100</v>
      </c>
    </row>
    <row r="62" spans="1:5" ht="18" x14ac:dyDescent="0.3">
      <c r="A62" s="2">
        <v>58</v>
      </c>
      <c r="B62" s="7" t="s">
        <v>60</v>
      </c>
      <c r="C62" s="12">
        <v>27</v>
      </c>
      <c r="D62" s="12">
        <v>17</v>
      </c>
      <c r="E62" s="12">
        <v>100</v>
      </c>
    </row>
    <row r="63" spans="1:5" ht="31.2" x14ac:dyDescent="0.3">
      <c r="A63" s="2">
        <v>59</v>
      </c>
      <c r="B63" s="8" t="s">
        <v>61</v>
      </c>
      <c r="C63" s="12">
        <v>27</v>
      </c>
      <c r="D63" s="12">
        <v>17</v>
      </c>
      <c r="E63" s="12">
        <v>100</v>
      </c>
    </row>
    <row r="64" spans="1:5" ht="18" x14ac:dyDescent="0.3">
      <c r="A64" s="2">
        <v>60</v>
      </c>
      <c r="B64" s="9" t="s">
        <v>62</v>
      </c>
      <c r="C64" s="12">
        <v>27</v>
      </c>
      <c r="D64" s="12">
        <v>17</v>
      </c>
      <c r="E64" s="12">
        <v>100</v>
      </c>
    </row>
  </sheetData>
  <mergeCells count="3">
    <mergeCell ref="A3:D3"/>
    <mergeCell ref="A1:E1"/>
    <mergeCell ref="A2:E2"/>
  </mergeCells>
  <pageMargins left="0.49" right="0.12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9"/>
  <sheetViews>
    <sheetView topLeftCell="B1" zoomScale="115" zoomScaleNormal="115" workbookViewId="0">
      <selection sqref="A1:AE1"/>
    </sheetView>
  </sheetViews>
  <sheetFormatPr defaultColWidth="4.88671875" defaultRowHeight="14.4" x14ac:dyDescent="0.3"/>
  <cols>
    <col min="1" max="1" width="4.88671875" style="20"/>
    <col min="2" max="2" width="27.109375" style="20" customWidth="1"/>
    <col min="3" max="28" width="4.88671875" style="20"/>
    <col min="29" max="29" width="4.88671875" style="67" customWidth="1"/>
    <col min="30" max="30" width="4.44140625" style="20" customWidth="1"/>
    <col min="31" max="31" width="9.6640625" style="24" customWidth="1"/>
    <col min="32" max="16384" width="4.88671875" style="20"/>
  </cols>
  <sheetData>
    <row r="1" spans="1:31" ht="15.75" x14ac:dyDescent="0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</row>
    <row r="2" spans="1:31" ht="15.75" x14ac:dyDescent="0.25">
      <c r="A2" s="112" t="s">
        <v>63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</row>
    <row r="3" spans="1:31" ht="15" customHeight="1" x14ac:dyDescent="0.25">
      <c r="A3" s="21" t="s">
        <v>78</v>
      </c>
      <c r="B3" s="22"/>
      <c r="C3" s="110" t="s">
        <v>75</v>
      </c>
      <c r="D3" s="111"/>
      <c r="E3" s="110" t="s">
        <v>65</v>
      </c>
      <c r="F3" s="111"/>
      <c r="G3" s="110" t="s">
        <v>66</v>
      </c>
      <c r="H3" s="111"/>
      <c r="I3" s="110" t="s">
        <v>68</v>
      </c>
      <c r="J3" s="111"/>
      <c r="K3" s="110" t="s">
        <v>69</v>
      </c>
      <c r="L3" s="111"/>
      <c r="M3" s="110" t="s">
        <v>70</v>
      </c>
      <c r="N3" s="111"/>
      <c r="O3" s="110" t="s">
        <v>72</v>
      </c>
      <c r="P3" s="111"/>
      <c r="Q3" s="110" t="s">
        <v>74</v>
      </c>
      <c r="R3" s="111"/>
      <c r="S3" s="110" t="s">
        <v>79</v>
      </c>
      <c r="T3" s="113"/>
      <c r="U3" s="110" t="s">
        <v>85</v>
      </c>
      <c r="V3" s="113"/>
      <c r="W3" s="110" t="s">
        <v>87</v>
      </c>
      <c r="X3" s="113"/>
      <c r="Y3" s="68" t="s">
        <v>88</v>
      </c>
      <c r="Z3" s="69"/>
      <c r="AA3" s="110" t="s">
        <v>90</v>
      </c>
      <c r="AB3" s="113"/>
      <c r="AC3" s="110"/>
      <c r="AD3" s="113"/>
      <c r="AE3" s="23"/>
    </row>
    <row r="4" spans="1:31" ht="30" x14ac:dyDescent="0.25">
      <c r="A4" s="48" t="s">
        <v>1</v>
      </c>
      <c r="B4" s="47" t="s">
        <v>2</v>
      </c>
      <c r="C4" s="48" t="s">
        <v>76</v>
      </c>
      <c r="D4" s="48" t="s">
        <v>77</v>
      </c>
      <c r="E4" s="48" t="s">
        <v>76</v>
      </c>
      <c r="F4" s="48" t="s">
        <v>77</v>
      </c>
      <c r="G4" s="48" t="s">
        <v>76</v>
      </c>
      <c r="H4" s="48" t="s">
        <v>77</v>
      </c>
      <c r="I4" s="48" t="s">
        <v>76</v>
      </c>
      <c r="J4" s="48" t="s">
        <v>77</v>
      </c>
      <c r="K4" s="48" t="s">
        <v>76</v>
      </c>
      <c r="L4" s="48" t="s">
        <v>77</v>
      </c>
      <c r="M4" s="48" t="s">
        <v>76</v>
      </c>
      <c r="N4" s="48" t="s">
        <v>77</v>
      </c>
      <c r="O4" s="48" t="s">
        <v>76</v>
      </c>
      <c r="P4" s="48" t="s">
        <v>77</v>
      </c>
      <c r="Q4" s="48" t="s">
        <v>76</v>
      </c>
      <c r="R4" s="48" t="s">
        <v>77</v>
      </c>
      <c r="S4" s="48" t="s">
        <v>76</v>
      </c>
      <c r="T4" s="48" t="s">
        <v>77</v>
      </c>
      <c r="U4" s="48" t="s">
        <v>76</v>
      </c>
      <c r="V4" s="48" t="s">
        <v>77</v>
      </c>
      <c r="W4" s="48" t="s">
        <v>76</v>
      </c>
      <c r="X4" s="48" t="s">
        <v>77</v>
      </c>
      <c r="Y4" s="48" t="s">
        <v>76</v>
      </c>
      <c r="Z4" s="48" t="s">
        <v>77</v>
      </c>
      <c r="AA4" s="48" t="s">
        <v>76</v>
      </c>
      <c r="AB4" s="48" t="s">
        <v>77</v>
      </c>
      <c r="AC4" s="48" t="s">
        <v>76</v>
      </c>
      <c r="AD4" s="49" t="s">
        <v>77</v>
      </c>
      <c r="AE4" s="50" t="s">
        <v>73</v>
      </c>
    </row>
    <row r="5" spans="1:31" ht="15" x14ac:dyDescent="0.25">
      <c r="A5" s="51">
        <v>1</v>
      </c>
      <c r="B5" s="52" t="s">
        <v>5</v>
      </c>
      <c r="C5" s="53">
        <v>17</v>
      </c>
      <c r="D5" s="53">
        <v>17</v>
      </c>
      <c r="E5" s="53">
        <v>23</v>
      </c>
      <c r="F5" s="53">
        <v>22</v>
      </c>
      <c r="G5" s="53">
        <v>23</v>
      </c>
      <c r="H5" s="53">
        <v>22</v>
      </c>
      <c r="I5" s="53">
        <v>22</v>
      </c>
      <c r="J5" s="53">
        <v>20</v>
      </c>
      <c r="K5" s="53">
        <v>22</v>
      </c>
      <c r="L5" s="53">
        <v>20</v>
      </c>
      <c r="M5" s="53">
        <v>24</v>
      </c>
      <c r="N5" s="53">
        <v>22</v>
      </c>
      <c r="O5" s="53">
        <v>16</v>
      </c>
      <c r="P5" s="53">
        <v>13</v>
      </c>
      <c r="Q5" s="53">
        <v>17</v>
      </c>
      <c r="R5" s="53">
        <v>7</v>
      </c>
      <c r="S5" s="54">
        <v>27</v>
      </c>
      <c r="T5" s="54">
        <v>23</v>
      </c>
      <c r="U5" s="54">
        <v>23</v>
      </c>
      <c r="V5" s="54">
        <v>21</v>
      </c>
      <c r="W5" s="54">
        <v>24</v>
      </c>
      <c r="X5" s="54">
        <v>21</v>
      </c>
      <c r="Y5" s="54">
        <v>21</v>
      </c>
      <c r="Z5" s="53">
        <v>16</v>
      </c>
      <c r="AA5" s="54">
        <v>23</v>
      </c>
      <c r="AB5" s="53">
        <v>19</v>
      </c>
      <c r="AC5" s="58">
        <f>C5+E5+G5+I5+K5+M5+O5+Q5+S5+U5+W5+Y5+AA5</f>
        <v>282</v>
      </c>
      <c r="AD5" s="55">
        <f>+D5+F5+H5+J5+L5+N5+P5+R5+T5+V5+X5+Z5+AB5</f>
        <v>243</v>
      </c>
      <c r="AE5" s="24">
        <f>+AD5/AC5*100</f>
        <v>86.170212765957444</v>
      </c>
    </row>
    <row r="6" spans="1:31" ht="15" x14ac:dyDescent="0.25">
      <c r="A6" s="56">
        <v>2</v>
      </c>
      <c r="B6" s="57" t="s">
        <v>6</v>
      </c>
      <c r="C6" s="53">
        <v>17</v>
      </c>
      <c r="D6" s="53">
        <v>17</v>
      </c>
      <c r="E6" s="53">
        <v>23</v>
      </c>
      <c r="F6" s="53">
        <v>22</v>
      </c>
      <c r="G6" s="53">
        <v>23</v>
      </c>
      <c r="H6" s="53">
        <v>23</v>
      </c>
      <c r="I6" s="53">
        <v>22</v>
      </c>
      <c r="J6" s="53">
        <v>20</v>
      </c>
      <c r="K6" s="53">
        <v>22</v>
      </c>
      <c r="L6" s="53">
        <v>20</v>
      </c>
      <c r="M6" s="53">
        <v>24</v>
      </c>
      <c r="N6" s="53">
        <v>19</v>
      </c>
      <c r="O6" s="53">
        <v>16</v>
      </c>
      <c r="P6" s="53">
        <v>13</v>
      </c>
      <c r="Q6" s="53">
        <v>17</v>
      </c>
      <c r="R6" s="58">
        <v>13</v>
      </c>
      <c r="S6" s="54">
        <v>27</v>
      </c>
      <c r="T6" s="54">
        <v>26</v>
      </c>
      <c r="U6" s="54">
        <v>23</v>
      </c>
      <c r="V6" s="54">
        <v>21</v>
      </c>
      <c r="W6" s="54">
        <v>24</v>
      </c>
      <c r="X6" s="54">
        <v>24</v>
      </c>
      <c r="Y6" s="54">
        <v>21</v>
      </c>
      <c r="Z6" s="53">
        <v>12</v>
      </c>
      <c r="AA6" s="54">
        <v>23</v>
      </c>
      <c r="AB6" s="53">
        <v>22</v>
      </c>
      <c r="AC6" s="58">
        <f t="shared" ref="AC6:AC64" si="0">C6+E6+G6+I6+K6+M6+O6+Q6+S6+U6+W6+Y6+AA6</f>
        <v>282</v>
      </c>
      <c r="AD6" s="55">
        <f t="shared" ref="AD6:AD64" si="1">+D6+F6+H6+J6+L6+N6+P6+R6+T6+V6+X6+Z6+AB6</f>
        <v>252</v>
      </c>
      <c r="AE6" s="24">
        <f t="shared" ref="AE6:AE64" si="2">+AD6/AC6*100</f>
        <v>89.361702127659569</v>
      </c>
    </row>
    <row r="7" spans="1:31" ht="15" x14ac:dyDescent="0.25">
      <c r="A7" s="56">
        <v>3</v>
      </c>
      <c r="B7" s="57" t="s">
        <v>7</v>
      </c>
      <c r="C7" s="53">
        <v>17</v>
      </c>
      <c r="D7" s="53">
        <v>17</v>
      </c>
      <c r="E7" s="53">
        <v>23</v>
      </c>
      <c r="F7" s="53">
        <v>22</v>
      </c>
      <c r="G7" s="53">
        <v>23</v>
      </c>
      <c r="H7" s="53">
        <v>23</v>
      </c>
      <c r="I7" s="53">
        <v>22</v>
      </c>
      <c r="J7" s="53">
        <v>15</v>
      </c>
      <c r="K7" s="53">
        <v>22</v>
      </c>
      <c r="L7" s="53">
        <v>19</v>
      </c>
      <c r="M7" s="53">
        <v>24</v>
      </c>
      <c r="N7" s="53">
        <v>18</v>
      </c>
      <c r="O7" s="53">
        <v>16</v>
      </c>
      <c r="P7" s="53">
        <v>9</v>
      </c>
      <c r="Q7" s="53">
        <v>17</v>
      </c>
      <c r="R7" s="59">
        <v>12</v>
      </c>
      <c r="S7" s="54">
        <v>27</v>
      </c>
      <c r="T7" s="54">
        <v>16</v>
      </c>
      <c r="U7" s="54">
        <v>23</v>
      </c>
      <c r="V7" s="54">
        <v>10</v>
      </c>
      <c r="W7" s="54">
        <v>24</v>
      </c>
      <c r="X7" s="54">
        <v>18</v>
      </c>
      <c r="Y7" s="54">
        <v>21</v>
      </c>
      <c r="Z7" s="53">
        <v>11</v>
      </c>
      <c r="AA7" s="54">
        <v>23</v>
      </c>
      <c r="AB7" s="53">
        <v>22</v>
      </c>
      <c r="AC7" s="58">
        <f t="shared" si="0"/>
        <v>282</v>
      </c>
      <c r="AD7" s="55">
        <f t="shared" si="1"/>
        <v>212</v>
      </c>
      <c r="AE7" s="64">
        <f t="shared" si="2"/>
        <v>75.177304964539005</v>
      </c>
    </row>
    <row r="8" spans="1:31" ht="30" x14ac:dyDescent="0.25">
      <c r="A8" s="56">
        <v>4</v>
      </c>
      <c r="B8" s="57" t="s">
        <v>8</v>
      </c>
      <c r="C8" s="53">
        <v>17</v>
      </c>
      <c r="D8" s="53">
        <v>17</v>
      </c>
      <c r="E8" s="53">
        <v>23</v>
      </c>
      <c r="F8" s="53">
        <v>21</v>
      </c>
      <c r="G8" s="53">
        <v>23</v>
      </c>
      <c r="H8" s="53">
        <v>20</v>
      </c>
      <c r="I8" s="53">
        <v>22</v>
      </c>
      <c r="J8" s="53">
        <v>19</v>
      </c>
      <c r="K8" s="53">
        <v>22</v>
      </c>
      <c r="L8" s="53">
        <v>14</v>
      </c>
      <c r="M8" s="53">
        <v>24</v>
      </c>
      <c r="N8" s="53">
        <v>16</v>
      </c>
      <c r="O8" s="53">
        <v>16</v>
      </c>
      <c r="P8" s="53">
        <v>12</v>
      </c>
      <c r="Q8" s="53">
        <v>17</v>
      </c>
      <c r="R8" s="58">
        <v>11</v>
      </c>
      <c r="S8" s="54">
        <v>27</v>
      </c>
      <c r="T8" s="54">
        <v>20</v>
      </c>
      <c r="U8" s="54">
        <v>23</v>
      </c>
      <c r="V8" s="54">
        <v>17</v>
      </c>
      <c r="W8" s="54">
        <v>24</v>
      </c>
      <c r="X8" s="54">
        <v>0</v>
      </c>
      <c r="Y8" s="54">
        <v>21</v>
      </c>
      <c r="Z8" s="53">
        <v>8</v>
      </c>
      <c r="AA8" s="54">
        <v>23</v>
      </c>
      <c r="AB8" s="53">
        <v>0</v>
      </c>
      <c r="AC8" s="58">
        <f t="shared" si="0"/>
        <v>282</v>
      </c>
      <c r="AD8" s="55">
        <f t="shared" si="1"/>
        <v>175</v>
      </c>
      <c r="AE8" s="65">
        <f t="shared" si="2"/>
        <v>62.056737588652474</v>
      </c>
    </row>
    <row r="9" spans="1:31" ht="15" x14ac:dyDescent="0.25">
      <c r="A9" s="56">
        <v>5</v>
      </c>
      <c r="B9" s="57" t="s">
        <v>9</v>
      </c>
      <c r="C9" s="53">
        <v>17</v>
      </c>
      <c r="D9" s="53">
        <v>17</v>
      </c>
      <c r="E9" s="53">
        <v>23</v>
      </c>
      <c r="F9" s="53">
        <v>20</v>
      </c>
      <c r="G9" s="53">
        <v>23</v>
      </c>
      <c r="H9" s="53">
        <v>20</v>
      </c>
      <c r="I9" s="53">
        <v>22</v>
      </c>
      <c r="J9" s="53">
        <v>15</v>
      </c>
      <c r="K9" s="53">
        <v>22</v>
      </c>
      <c r="L9" s="53">
        <v>16</v>
      </c>
      <c r="M9" s="53">
        <v>24</v>
      </c>
      <c r="N9" s="53">
        <v>15</v>
      </c>
      <c r="O9" s="53">
        <v>16</v>
      </c>
      <c r="P9" s="53">
        <v>14</v>
      </c>
      <c r="Q9" s="53">
        <v>17</v>
      </c>
      <c r="R9" s="59">
        <v>4</v>
      </c>
      <c r="S9" s="54">
        <v>27</v>
      </c>
      <c r="T9" s="54">
        <v>15</v>
      </c>
      <c r="U9" s="54">
        <v>23</v>
      </c>
      <c r="V9" s="54">
        <v>19</v>
      </c>
      <c r="W9" s="54">
        <v>24</v>
      </c>
      <c r="X9" s="54">
        <v>19</v>
      </c>
      <c r="Y9" s="54">
        <v>21</v>
      </c>
      <c r="Z9" s="53">
        <v>11</v>
      </c>
      <c r="AA9" s="54">
        <v>23</v>
      </c>
      <c r="AB9" s="53">
        <v>21</v>
      </c>
      <c r="AC9" s="58">
        <f t="shared" si="0"/>
        <v>282</v>
      </c>
      <c r="AD9" s="55">
        <f t="shared" si="1"/>
        <v>206</v>
      </c>
      <c r="AE9" s="65">
        <f t="shared" si="2"/>
        <v>73.049645390070921</v>
      </c>
    </row>
    <row r="10" spans="1:31" ht="15" x14ac:dyDescent="0.25">
      <c r="A10" s="56">
        <v>6</v>
      </c>
      <c r="B10" s="57" t="s">
        <v>10</v>
      </c>
      <c r="C10" s="53">
        <v>17</v>
      </c>
      <c r="D10" s="53">
        <v>13</v>
      </c>
      <c r="E10" s="53">
        <v>23</v>
      </c>
      <c r="F10" s="53">
        <v>19</v>
      </c>
      <c r="G10" s="53">
        <v>23</v>
      </c>
      <c r="H10" s="53">
        <v>21</v>
      </c>
      <c r="I10" s="53">
        <v>22</v>
      </c>
      <c r="J10" s="53">
        <v>16</v>
      </c>
      <c r="K10" s="53">
        <v>22</v>
      </c>
      <c r="L10" s="53">
        <v>17</v>
      </c>
      <c r="M10" s="53">
        <v>24</v>
      </c>
      <c r="N10" s="53">
        <v>20</v>
      </c>
      <c r="O10" s="53">
        <v>16</v>
      </c>
      <c r="P10" s="53">
        <v>13</v>
      </c>
      <c r="Q10" s="53">
        <v>17</v>
      </c>
      <c r="R10" s="58">
        <v>5</v>
      </c>
      <c r="S10" s="53">
        <v>27</v>
      </c>
      <c r="T10" s="53">
        <v>25</v>
      </c>
      <c r="U10" s="53">
        <v>23</v>
      </c>
      <c r="V10" s="53">
        <v>21</v>
      </c>
      <c r="W10" s="54">
        <v>24</v>
      </c>
      <c r="X10" s="54">
        <v>0</v>
      </c>
      <c r="Y10" s="54">
        <v>21</v>
      </c>
      <c r="Z10" s="53">
        <v>9</v>
      </c>
      <c r="AA10" s="54">
        <v>23</v>
      </c>
      <c r="AB10" s="53">
        <v>4</v>
      </c>
      <c r="AC10" s="58">
        <f t="shared" si="0"/>
        <v>282</v>
      </c>
      <c r="AD10" s="55">
        <f t="shared" si="1"/>
        <v>183</v>
      </c>
      <c r="AE10" s="65">
        <f t="shared" si="2"/>
        <v>64.893617021276597</v>
      </c>
    </row>
    <row r="11" spans="1:31" ht="15" x14ac:dyDescent="0.25">
      <c r="A11" s="56">
        <v>7</v>
      </c>
      <c r="B11" s="57" t="s">
        <v>11</v>
      </c>
      <c r="C11" s="53">
        <v>17</v>
      </c>
      <c r="D11" s="53">
        <v>15</v>
      </c>
      <c r="E11" s="53">
        <v>23</v>
      </c>
      <c r="F11" s="53">
        <v>21</v>
      </c>
      <c r="G11" s="53">
        <v>23</v>
      </c>
      <c r="H11" s="53">
        <v>20</v>
      </c>
      <c r="I11" s="53">
        <v>22</v>
      </c>
      <c r="J11" s="53">
        <v>17</v>
      </c>
      <c r="K11" s="53">
        <v>22</v>
      </c>
      <c r="L11" s="53">
        <v>20</v>
      </c>
      <c r="M11" s="53">
        <v>24</v>
      </c>
      <c r="N11" s="53">
        <v>18</v>
      </c>
      <c r="O11" s="53">
        <v>16</v>
      </c>
      <c r="P11" s="53">
        <v>10</v>
      </c>
      <c r="Q11" s="53">
        <v>17</v>
      </c>
      <c r="R11" s="59">
        <v>10</v>
      </c>
      <c r="S11" s="54">
        <v>27</v>
      </c>
      <c r="T11" s="54">
        <v>18</v>
      </c>
      <c r="U11" s="54">
        <v>23</v>
      </c>
      <c r="V11" s="54">
        <v>20</v>
      </c>
      <c r="W11" s="54">
        <v>24</v>
      </c>
      <c r="X11" s="54">
        <v>20</v>
      </c>
      <c r="Y11" s="54">
        <v>21</v>
      </c>
      <c r="Z11" s="53">
        <v>11</v>
      </c>
      <c r="AA11" s="54">
        <v>23</v>
      </c>
      <c r="AB11" s="53">
        <v>18</v>
      </c>
      <c r="AC11" s="58">
        <f t="shared" si="0"/>
        <v>282</v>
      </c>
      <c r="AD11" s="55">
        <f t="shared" si="1"/>
        <v>218</v>
      </c>
      <c r="AE11" s="24">
        <f t="shared" si="2"/>
        <v>77.304964539007088</v>
      </c>
    </row>
    <row r="12" spans="1:31" ht="15" x14ac:dyDescent="0.25">
      <c r="A12" s="56">
        <v>8</v>
      </c>
      <c r="B12" s="57" t="s">
        <v>12</v>
      </c>
      <c r="C12" s="53">
        <v>17</v>
      </c>
      <c r="D12" s="53">
        <v>15</v>
      </c>
      <c r="E12" s="53">
        <v>23</v>
      </c>
      <c r="F12" s="53">
        <v>20</v>
      </c>
      <c r="G12" s="53">
        <v>23</v>
      </c>
      <c r="H12" s="53">
        <v>14</v>
      </c>
      <c r="I12" s="53">
        <v>22</v>
      </c>
      <c r="J12" s="53">
        <v>16</v>
      </c>
      <c r="K12" s="53">
        <v>22</v>
      </c>
      <c r="L12" s="53">
        <v>18</v>
      </c>
      <c r="M12" s="53">
        <v>24</v>
      </c>
      <c r="N12" s="53">
        <v>12</v>
      </c>
      <c r="O12" s="53">
        <v>16</v>
      </c>
      <c r="P12" s="53">
        <v>15</v>
      </c>
      <c r="Q12" s="53">
        <v>17</v>
      </c>
      <c r="R12" s="58">
        <v>14</v>
      </c>
      <c r="S12" s="54">
        <v>27</v>
      </c>
      <c r="T12" s="54">
        <v>23</v>
      </c>
      <c r="U12" s="54">
        <v>23</v>
      </c>
      <c r="V12" s="54">
        <v>20</v>
      </c>
      <c r="W12" s="54">
        <v>24</v>
      </c>
      <c r="X12" s="54">
        <v>20</v>
      </c>
      <c r="Y12" s="54">
        <v>21</v>
      </c>
      <c r="Z12" s="53">
        <v>15</v>
      </c>
      <c r="AA12" s="54">
        <v>23</v>
      </c>
      <c r="AB12" s="53">
        <v>20</v>
      </c>
      <c r="AC12" s="58">
        <f t="shared" si="0"/>
        <v>282</v>
      </c>
      <c r="AD12" s="55">
        <f t="shared" si="1"/>
        <v>222</v>
      </c>
      <c r="AE12" s="24">
        <f t="shared" si="2"/>
        <v>78.723404255319153</v>
      </c>
    </row>
    <row r="13" spans="1:31" ht="15" x14ac:dyDescent="0.25">
      <c r="A13" s="56">
        <v>9</v>
      </c>
      <c r="B13" s="57" t="s">
        <v>13</v>
      </c>
      <c r="C13" s="53">
        <v>17</v>
      </c>
      <c r="D13" s="53">
        <v>17</v>
      </c>
      <c r="E13" s="53">
        <v>23</v>
      </c>
      <c r="F13" s="53">
        <v>23</v>
      </c>
      <c r="G13" s="53">
        <v>23</v>
      </c>
      <c r="H13" s="53">
        <v>22</v>
      </c>
      <c r="I13" s="53">
        <v>22</v>
      </c>
      <c r="J13" s="53">
        <v>22</v>
      </c>
      <c r="K13" s="53">
        <v>22</v>
      </c>
      <c r="L13" s="53">
        <v>20</v>
      </c>
      <c r="M13" s="53">
        <v>24</v>
      </c>
      <c r="N13" s="53">
        <v>15</v>
      </c>
      <c r="O13" s="53">
        <v>16</v>
      </c>
      <c r="P13" s="53">
        <v>11</v>
      </c>
      <c r="Q13" s="53">
        <v>17</v>
      </c>
      <c r="R13" s="59">
        <v>13</v>
      </c>
      <c r="S13" s="54">
        <v>27</v>
      </c>
      <c r="T13" s="54">
        <v>25</v>
      </c>
      <c r="U13" s="54">
        <v>23</v>
      </c>
      <c r="V13" s="54">
        <v>15</v>
      </c>
      <c r="W13" s="54">
        <v>24</v>
      </c>
      <c r="X13" s="54">
        <v>23</v>
      </c>
      <c r="Y13" s="54">
        <v>21</v>
      </c>
      <c r="Z13" s="53">
        <v>17</v>
      </c>
      <c r="AA13" s="54">
        <v>23</v>
      </c>
      <c r="AB13" s="53">
        <v>20</v>
      </c>
      <c r="AC13" s="58">
        <f t="shared" si="0"/>
        <v>282</v>
      </c>
      <c r="AD13" s="55">
        <f t="shared" si="1"/>
        <v>243</v>
      </c>
      <c r="AE13" s="24">
        <f t="shared" si="2"/>
        <v>86.170212765957444</v>
      </c>
    </row>
    <row r="14" spans="1:31" ht="15" x14ac:dyDescent="0.25">
      <c r="A14" s="56">
        <v>10</v>
      </c>
      <c r="B14" s="57" t="s">
        <v>14</v>
      </c>
      <c r="C14" s="53">
        <v>17</v>
      </c>
      <c r="D14" s="53">
        <v>17</v>
      </c>
      <c r="E14" s="53">
        <v>23</v>
      </c>
      <c r="F14" s="53">
        <v>20</v>
      </c>
      <c r="G14" s="53">
        <v>23</v>
      </c>
      <c r="H14" s="53">
        <v>19</v>
      </c>
      <c r="I14" s="53">
        <v>22</v>
      </c>
      <c r="J14" s="53">
        <v>16</v>
      </c>
      <c r="K14" s="53">
        <v>22</v>
      </c>
      <c r="L14" s="53">
        <v>14</v>
      </c>
      <c r="M14" s="53">
        <v>24</v>
      </c>
      <c r="N14" s="53">
        <v>12</v>
      </c>
      <c r="O14" s="53">
        <v>16</v>
      </c>
      <c r="P14" s="53">
        <v>9</v>
      </c>
      <c r="Q14" s="53">
        <v>17</v>
      </c>
      <c r="R14" s="58">
        <v>9</v>
      </c>
      <c r="S14" s="54">
        <v>27</v>
      </c>
      <c r="T14" s="54">
        <v>22</v>
      </c>
      <c r="U14" s="54">
        <v>23</v>
      </c>
      <c r="V14" s="54">
        <v>19</v>
      </c>
      <c r="W14" s="54">
        <v>24</v>
      </c>
      <c r="X14" s="54">
        <v>19</v>
      </c>
      <c r="Y14" s="54">
        <v>21</v>
      </c>
      <c r="Z14" s="53">
        <v>10</v>
      </c>
      <c r="AA14" s="54">
        <v>23</v>
      </c>
      <c r="AB14" s="53">
        <v>8</v>
      </c>
      <c r="AC14" s="58">
        <f t="shared" si="0"/>
        <v>282</v>
      </c>
      <c r="AD14" s="55">
        <f t="shared" si="1"/>
        <v>194</v>
      </c>
      <c r="AE14" s="65">
        <f t="shared" si="2"/>
        <v>68.794326241134755</v>
      </c>
    </row>
    <row r="15" spans="1:31" ht="15" x14ac:dyDescent="0.25">
      <c r="A15" s="56">
        <v>11</v>
      </c>
      <c r="B15" s="57" t="s">
        <v>15</v>
      </c>
      <c r="C15" s="53">
        <v>17</v>
      </c>
      <c r="D15" s="53">
        <v>16</v>
      </c>
      <c r="E15" s="53">
        <v>23</v>
      </c>
      <c r="F15" s="53">
        <v>22</v>
      </c>
      <c r="G15" s="53">
        <v>23</v>
      </c>
      <c r="H15" s="53">
        <v>22</v>
      </c>
      <c r="I15" s="53">
        <v>22</v>
      </c>
      <c r="J15" s="53">
        <v>16</v>
      </c>
      <c r="K15" s="53">
        <v>22</v>
      </c>
      <c r="L15" s="53">
        <v>18</v>
      </c>
      <c r="M15" s="53">
        <v>24</v>
      </c>
      <c r="N15" s="53">
        <v>14</v>
      </c>
      <c r="O15" s="53">
        <v>16</v>
      </c>
      <c r="P15" s="53">
        <v>13</v>
      </c>
      <c r="Q15" s="53">
        <v>17</v>
      </c>
      <c r="R15" s="58">
        <v>13</v>
      </c>
      <c r="S15" s="54">
        <v>27</v>
      </c>
      <c r="T15" s="54">
        <v>19</v>
      </c>
      <c r="U15" s="54">
        <v>23</v>
      </c>
      <c r="V15" s="54">
        <v>18</v>
      </c>
      <c r="W15" s="54">
        <v>24</v>
      </c>
      <c r="X15" s="54">
        <v>19</v>
      </c>
      <c r="Y15" s="54">
        <v>21</v>
      </c>
      <c r="Z15" s="53">
        <v>13</v>
      </c>
      <c r="AA15" s="54">
        <v>23</v>
      </c>
      <c r="AB15" s="53">
        <v>20</v>
      </c>
      <c r="AC15" s="58">
        <f t="shared" si="0"/>
        <v>282</v>
      </c>
      <c r="AD15" s="55">
        <f t="shared" si="1"/>
        <v>223</v>
      </c>
      <c r="AE15" s="24">
        <f t="shared" si="2"/>
        <v>79.078014184397162</v>
      </c>
    </row>
    <row r="16" spans="1:31" ht="15" x14ac:dyDescent="0.25">
      <c r="A16" s="56">
        <v>12</v>
      </c>
      <c r="B16" s="57" t="s">
        <v>16</v>
      </c>
      <c r="C16" s="53">
        <v>17</v>
      </c>
      <c r="D16" s="53">
        <v>16</v>
      </c>
      <c r="E16" s="53">
        <v>23</v>
      </c>
      <c r="F16" s="53">
        <v>14</v>
      </c>
      <c r="G16" s="53">
        <v>23</v>
      </c>
      <c r="H16" s="53">
        <v>21</v>
      </c>
      <c r="I16" s="53">
        <v>22</v>
      </c>
      <c r="J16" s="53">
        <v>16</v>
      </c>
      <c r="K16" s="53">
        <v>22</v>
      </c>
      <c r="L16" s="53">
        <v>18</v>
      </c>
      <c r="M16" s="53">
        <v>24</v>
      </c>
      <c r="N16" s="53">
        <v>11</v>
      </c>
      <c r="O16" s="53">
        <v>16</v>
      </c>
      <c r="P16" s="53">
        <v>13</v>
      </c>
      <c r="Q16" s="53">
        <v>17</v>
      </c>
      <c r="R16" s="59">
        <v>15</v>
      </c>
      <c r="S16" s="54">
        <v>27</v>
      </c>
      <c r="T16" s="54">
        <v>0</v>
      </c>
      <c r="U16" s="54">
        <v>23</v>
      </c>
      <c r="V16" s="54">
        <v>1</v>
      </c>
      <c r="W16" s="54">
        <v>24</v>
      </c>
      <c r="X16" s="54">
        <v>0</v>
      </c>
      <c r="Y16" s="54">
        <v>21</v>
      </c>
      <c r="Z16" s="53">
        <v>8</v>
      </c>
      <c r="AA16" s="54">
        <v>23</v>
      </c>
      <c r="AB16" s="53">
        <v>1</v>
      </c>
      <c r="AC16" s="58">
        <f t="shared" si="0"/>
        <v>282</v>
      </c>
      <c r="AD16" s="55">
        <f t="shared" si="1"/>
        <v>134</v>
      </c>
      <c r="AE16" s="65">
        <f t="shared" si="2"/>
        <v>47.5177304964539</v>
      </c>
    </row>
    <row r="17" spans="1:31" ht="15" x14ac:dyDescent="0.25">
      <c r="A17" s="56">
        <v>13</v>
      </c>
      <c r="B17" s="57" t="s">
        <v>17</v>
      </c>
      <c r="C17" s="53">
        <v>17</v>
      </c>
      <c r="D17" s="53">
        <v>17</v>
      </c>
      <c r="E17" s="53">
        <v>23</v>
      </c>
      <c r="F17" s="53">
        <v>22</v>
      </c>
      <c r="G17" s="53">
        <v>23</v>
      </c>
      <c r="H17" s="53">
        <v>22</v>
      </c>
      <c r="I17" s="53">
        <v>22</v>
      </c>
      <c r="J17" s="53">
        <v>21</v>
      </c>
      <c r="K17" s="53">
        <v>22</v>
      </c>
      <c r="L17" s="53">
        <v>19</v>
      </c>
      <c r="M17" s="53">
        <v>24</v>
      </c>
      <c r="N17" s="53">
        <v>22</v>
      </c>
      <c r="O17" s="53">
        <v>16</v>
      </c>
      <c r="P17" s="53">
        <v>11</v>
      </c>
      <c r="Q17" s="53">
        <v>17</v>
      </c>
      <c r="R17" s="58">
        <v>12</v>
      </c>
      <c r="S17" s="54">
        <v>27</v>
      </c>
      <c r="T17" s="54">
        <v>23</v>
      </c>
      <c r="U17" s="54">
        <v>23</v>
      </c>
      <c r="V17" s="54">
        <v>18</v>
      </c>
      <c r="W17" s="54">
        <v>24</v>
      </c>
      <c r="X17" s="54">
        <v>22</v>
      </c>
      <c r="Y17" s="54">
        <v>21</v>
      </c>
      <c r="Z17" s="53">
        <v>14</v>
      </c>
      <c r="AA17" s="54">
        <v>23</v>
      </c>
      <c r="AB17" s="53">
        <v>19</v>
      </c>
      <c r="AC17" s="58">
        <f t="shared" si="0"/>
        <v>282</v>
      </c>
      <c r="AD17" s="55">
        <f t="shared" si="1"/>
        <v>242</v>
      </c>
      <c r="AE17" s="24">
        <f t="shared" si="2"/>
        <v>85.815602836879435</v>
      </c>
    </row>
    <row r="18" spans="1:31" ht="15" x14ac:dyDescent="0.25">
      <c r="A18" s="56">
        <v>14</v>
      </c>
      <c r="B18" s="57" t="s">
        <v>18</v>
      </c>
      <c r="C18" s="53">
        <v>17</v>
      </c>
      <c r="D18" s="53">
        <v>17</v>
      </c>
      <c r="E18" s="53">
        <v>23</v>
      </c>
      <c r="F18" s="53">
        <v>21</v>
      </c>
      <c r="G18" s="53">
        <v>23</v>
      </c>
      <c r="H18" s="53">
        <v>22</v>
      </c>
      <c r="I18" s="53">
        <v>22</v>
      </c>
      <c r="J18" s="53">
        <v>21</v>
      </c>
      <c r="K18" s="53">
        <v>22</v>
      </c>
      <c r="L18" s="53">
        <v>20</v>
      </c>
      <c r="M18" s="53">
        <v>24</v>
      </c>
      <c r="N18" s="53">
        <v>19</v>
      </c>
      <c r="O18" s="53">
        <v>16</v>
      </c>
      <c r="P18" s="53">
        <v>13</v>
      </c>
      <c r="Q18" s="53">
        <v>17</v>
      </c>
      <c r="R18" s="58">
        <v>14</v>
      </c>
      <c r="S18" s="54">
        <v>27</v>
      </c>
      <c r="T18" s="54">
        <v>26</v>
      </c>
      <c r="U18" s="54">
        <v>23</v>
      </c>
      <c r="V18" s="54">
        <v>22</v>
      </c>
      <c r="W18" s="54">
        <v>24</v>
      </c>
      <c r="X18" s="54">
        <v>22</v>
      </c>
      <c r="Y18" s="54">
        <v>21</v>
      </c>
      <c r="Z18" s="53">
        <v>16</v>
      </c>
      <c r="AA18" s="54">
        <v>23</v>
      </c>
      <c r="AB18" s="53">
        <v>22</v>
      </c>
      <c r="AC18" s="58">
        <f t="shared" si="0"/>
        <v>282</v>
      </c>
      <c r="AD18" s="55">
        <f t="shared" si="1"/>
        <v>255</v>
      </c>
      <c r="AE18" s="24">
        <f t="shared" si="2"/>
        <v>90.425531914893625</v>
      </c>
    </row>
    <row r="19" spans="1:31" ht="15" x14ac:dyDescent="0.25">
      <c r="A19" s="56">
        <v>15</v>
      </c>
      <c r="B19" s="57" t="s">
        <v>19</v>
      </c>
      <c r="C19" s="53">
        <v>17</v>
      </c>
      <c r="D19" s="53">
        <v>17</v>
      </c>
      <c r="E19" s="53">
        <v>23</v>
      </c>
      <c r="F19" s="53">
        <v>14</v>
      </c>
      <c r="G19" s="53">
        <v>23</v>
      </c>
      <c r="H19" s="53">
        <v>17</v>
      </c>
      <c r="I19" s="53">
        <v>22</v>
      </c>
      <c r="J19" s="53">
        <v>18</v>
      </c>
      <c r="K19" s="53">
        <v>22</v>
      </c>
      <c r="L19" s="53">
        <v>19</v>
      </c>
      <c r="M19" s="53">
        <v>24</v>
      </c>
      <c r="N19" s="53">
        <v>17</v>
      </c>
      <c r="O19" s="53">
        <v>16</v>
      </c>
      <c r="P19" s="53">
        <v>13</v>
      </c>
      <c r="Q19" s="53">
        <v>17</v>
      </c>
      <c r="R19" s="59">
        <v>13</v>
      </c>
      <c r="S19" s="54">
        <v>27</v>
      </c>
      <c r="T19" s="54">
        <v>21</v>
      </c>
      <c r="U19" s="54">
        <v>23</v>
      </c>
      <c r="V19" s="54">
        <v>17</v>
      </c>
      <c r="W19" s="54">
        <v>24</v>
      </c>
      <c r="X19" s="54">
        <v>19</v>
      </c>
      <c r="Y19" s="54">
        <v>21</v>
      </c>
      <c r="Z19" s="53">
        <v>13</v>
      </c>
      <c r="AA19" s="54">
        <v>23</v>
      </c>
      <c r="AB19" s="53">
        <v>20</v>
      </c>
      <c r="AC19" s="58">
        <f t="shared" si="0"/>
        <v>282</v>
      </c>
      <c r="AD19" s="55">
        <f t="shared" si="1"/>
        <v>218</v>
      </c>
      <c r="AE19" s="24">
        <f t="shared" si="2"/>
        <v>77.304964539007088</v>
      </c>
    </row>
    <row r="20" spans="1:31" ht="15" x14ac:dyDescent="0.25">
      <c r="A20" s="56">
        <v>16</v>
      </c>
      <c r="B20" s="57" t="s">
        <v>71</v>
      </c>
      <c r="C20" s="53">
        <v>17</v>
      </c>
      <c r="D20" s="53">
        <v>17</v>
      </c>
      <c r="E20" s="53">
        <v>23</v>
      </c>
      <c r="F20" s="53">
        <v>18</v>
      </c>
      <c r="G20" s="53">
        <v>23</v>
      </c>
      <c r="H20" s="53">
        <v>22</v>
      </c>
      <c r="I20" s="53">
        <v>22</v>
      </c>
      <c r="J20" s="53">
        <v>21</v>
      </c>
      <c r="K20" s="53">
        <v>22</v>
      </c>
      <c r="L20" s="53">
        <v>20</v>
      </c>
      <c r="M20" s="53">
        <v>24</v>
      </c>
      <c r="N20" s="53">
        <v>16</v>
      </c>
      <c r="O20" s="53">
        <v>16</v>
      </c>
      <c r="P20" s="53">
        <v>8</v>
      </c>
      <c r="Q20" s="53">
        <v>17</v>
      </c>
      <c r="R20" s="58">
        <v>5</v>
      </c>
      <c r="S20" s="54">
        <v>27</v>
      </c>
      <c r="T20" s="54">
        <v>19</v>
      </c>
      <c r="U20" s="54">
        <v>23</v>
      </c>
      <c r="V20" s="54">
        <v>19</v>
      </c>
      <c r="W20" s="54">
        <v>24</v>
      </c>
      <c r="X20" s="54">
        <v>23</v>
      </c>
      <c r="Y20" s="54">
        <v>21</v>
      </c>
      <c r="Z20" s="53">
        <v>7</v>
      </c>
      <c r="AA20" s="54">
        <v>23</v>
      </c>
      <c r="AB20" s="53">
        <v>18</v>
      </c>
      <c r="AC20" s="58">
        <f t="shared" si="0"/>
        <v>282</v>
      </c>
      <c r="AD20" s="55">
        <f t="shared" si="1"/>
        <v>213</v>
      </c>
      <c r="AE20" s="65">
        <f t="shared" si="2"/>
        <v>75.531914893617028</v>
      </c>
    </row>
    <row r="21" spans="1:31" ht="15" x14ac:dyDescent="0.25">
      <c r="A21" s="56">
        <v>17</v>
      </c>
      <c r="B21" s="57" t="s">
        <v>20</v>
      </c>
      <c r="C21" s="53">
        <v>17</v>
      </c>
      <c r="D21" s="53">
        <v>17</v>
      </c>
      <c r="E21" s="53">
        <v>23</v>
      </c>
      <c r="F21" s="53">
        <v>22</v>
      </c>
      <c r="G21" s="53">
        <v>23</v>
      </c>
      <c r="H21" s="53">
        <v>23</v>
      </c>
      <c r="I21" s="53">
        <v>22</v>
      </c>
      <c r="J21" s="53">
        <v>22</v>
      </c>
      <c r="K21" s="53">
        <v>22</v>
      </c>
      <c r="L21" s="53">
        <v>19</v>
      </c>
      <c r="M21" s="53">
        <v>24</v>
      </c>
      <c r="N21" s="53">
        <v>19</v>
      </c>
      <c r="O21" s="53">
        <v>16</v>
      </c>
      <c r="P21" s="53">
        <v>14</v>
      </c>
      <c r="Q21" s="53">
        <v>17</v>
      </c>
      <c r="R21" s="59">
        <v>17</v>
      </c>
      <c r="S21" s="54">
        <v>27</v>
      </c>
      <c r="T21" s="54">
        <v>26</v>
      </c>
      <c r="U21" s="54">
        <v>23</v>
      </c>
      <c r="V21" s="54">
        <v>21</v>
      </c>
      <c r="W21" s="54">
        <v>24</v>
      </c>
      <c r="X21" s="54">
        <v>24</v>
      </c>
      <c r="Y21" s="54">
        <v>21</v>
      </c>
      <c r="Z21" s="53">
        <v>17</v>
      </c>
      <c r="AA21" s="54">
        <v>23</v>
      </c>
      <c r="AB21" s="53">
        <v>23</v>
      </c>
      <c r="AC21" s="58">
        <f t="shared" si="0"/>
        <v>282</v>
      </c>
      <c r="AD21" s="55">
        <f t="shared" si="1"/>
        <v>264</v>
      </c>
      <c r="AE21" s="24">
        <f t="shared" si="2"/>
        <v>93.61702127659575</v>
      </c>
    </row>
    <row r="22" spans="1:31" ht="15" x14ac:dyDescent="0.25">
      <c r="A22" s="56">
        <v>18</v>
      </c>
      <c r="B22" s="57" t="s">
        <v>21</v>
      </c>
      <c r="C22" s="53">
        <v>17</v>
      </c>
      <c r="D22" s="53">
        <v>13</v>
      </c>
      <c r="E22" s="53">
        <v>23</v>
      </c>
      <c r="F22" s="53">
        <v>14</v>
      </c>
      <c r="G22" s="53">
        <v>23</v>
      </c>
      <c r="H22" s="53">
        <v>21</v>
      </c>
      <c r="I22" s="53">
        <v>22</v>
      </c>
      <c r="J22" s="53">
        <v>22</v>
      </c>
      <c r="K22" s="53">
        <v>22</v>
      </c>
      <c r="L22" s="53">
        <v>19</v>
      </c>
      <c r="M22" s="53">
        <v>24</v>
      </c>
      <c r="N22" s="53">
        <v>18</v>
      </c>
      <c r="O22" s="53">
        <v>16</v>
      </c>
      <c r="P22" s="53">
        <v>11</v>
      </c>
      <c r="Q22" s="53">
        <v>17</v>
      </c>
      <c r="R22" s="58">
        <v>6</v>
      </c>
      <c r="S22" s="54">
        <v>27</v>
      </c>
      <c r="T22" s="54">
        <v>22</v>
      </c>
      <c r="U22" s="54">
        <v>23</v>
      </c>
      <c r="V22" s="54">
        <v>15</v>
      </c>
      <c r="W22" s="54">
        <v>24</v>
      </c>
      <c r="X22" s="54">
        <v>21</v>
      </c>
      <c r="Y22" s="54">
        <v>21</v>
      </c>
      <c r="Z22" s="53">
        <v>12</v>
      </c>
      <c r="AA22" s="54">
        <v>23</v>
      </c>
      <c r="AB22" s="53">
        <v>13</v>
      </c>
      <c r="AC22" s="58">
        <f t="shared" si="0"/>
        <v>282</v>
      </c>
      <c r="AD22" s="55">
        <f t="shared" si="1"/>
        <v>207</v>
      </c>
      <c r="AE22" s="65">
        <f t="shared" si="2"/>
        <v>73.40425531914893</v>
      </c>
    </row>
    <row r="23" spans="1:31" ht="15" x14ac:dyDescent="0.25">
      <c r="A23" s="56">
        <v>19</v>
      </c>
      <c r="B23" s="57" t="s">
        <v>22</v>
      </c>
      <c r="C23" s="53">
        <v>17</v>
      </c>
      <c r="D23" s="53">
        <v>10</v>
      </c>
      <c r="E23" s="53">
        <v>23</v>
      </c>
      <c r="F23" s="53">
        <v>12</v>
      </c>
      <c r="G23" s="53">
        <v>23</v>
      </c>
      <c r="H23" s="53">
        <v>22</v>
      </c>
      <c r="I23" s="53">
        <v>22</v>
      </c>
      <c r="J23" s="53">
        <v>20</v>
      </c>
      <c r="K23" s="53">
        <v>22</v>
      </c>
      <c r="L23" s="53">
        <v>15</v>
      </c>
      <c r="M23" s="53">
        <v>24</v>
      </c>
      <c r="N23" s="53">
        <v>16</v>
      </c>
      <c r="O23" s="53">
        <v>16</v>
      </c>
      <c r="P23" s="53">
        <v>14</v>
      </c>
      <c r="Q23" s="53">
        <v>17</v>
      </c>
      <c r="R23" s="59">
        <v>15</v>
      </c>
      <c r="S23" s="54">
        <v>27</v>
      </c>
      <c r="T23" s="54">
        <v>16</v>
      </c>
      <c r="U23" s="54">
        <v>23</v>
      </c>
      <c r="V23" s="54">
        <v>21</v>
      </c>
      <c r="W23" s="54">
        <v>24</v>
      </c>
      <c r="X23" s="54">
        <v>21</v>
      </c>
      <c r="Y23" s="54">
        <v>21</v>
      </c>
      <c r="Z23" s="53">
        <v>15</v>
      </c>
      <c r="AA23" s="54">
        <v>23</v>
      </c>
      <c r="AB23" s="53">
        <v>8</v>
      </c>
      <c r="AC23" s="58">
        <f t="shared" si="0"/>
        <v>282</v>
      </c>
      <c r="AD23" s="55">
        <f t="shared" si="1"/>
        <v>205</v>
      </c>
      <c r="AE23" s="24">
        <f t="shared" si="2"/>
        <v>72.695035460992912</v>
      </c>
    </row>
    <row r="24" spans="1:31" ht="15" x14ac:dyDescent="0.25">
      <c r="A24" s="56">
        <v>20</v>
      </c>
      <c r="B24" s="57" t="s">
        <v>23</v>
      </c>
      <c r="C24" s="53">
        <v>17</v>
      </c>
      <c r="D24" s="53">
        <v>17</v>
      </c>
      <c r="E24" s="53">
        <v>23</v>
      </c>
      <c r="F24" s="53">
        <v>21</v>
      </c>
      <c r="G24" s="53">
        <v>23</v>
      </c>
      <c r="H24" s="53">
        <v>22</v>
      </c>
      <c r="I24" s="53">
        <v>22</v>
      </c>
      <c r="J24" s="53">
        <v>17</v>
      </c>
      <c r="K24" s="53">
        <v>22</v>
      </c>
      <c r="L24" s="53">
        <v>19</v>
      </c>
      <c r="M24" s="53">
        <v>24</v>
      </c>
      <c r="N24" s="53">
        <v>18</v>
      </c>
      <c r="O24" s="53">
        <v>16</v>
      </c>
      <c r="P24" s="53">
        <v>13</v>
      </c>
      <c r="Q24" s="53">
        <v>17</v>
      </c>
      <c r="R24" s="58">
        <v>13</v>
      </c>
      <c r="S24" s="54">
        <v>27</v>
      </c>
      <c r="T24" s="54">
        <v>23</v>
      </c>
      <c r="U24" s="54">
        <v>23</v>
      </c>
      <c r="V24" s="54">
        <v>19</v>
      </c>
      <c r="W24" s="54">
        <v>24</v>
      </c>
      <c r="X24" s="54">
        <v>23</v>
      </c>
      <c r="Y24" s="54">
        <v>21</v>
      </c>
      <c r="Z24" s="53">
        <v>15</v>
      </c>
      <c r="AA24" s="54">
        <v>23</v>
      </c>
      <c r="AB24" s="53">
        <v>23</v>
      </c>
      <c r="AC24" s="58">
        <f t="shared" si="0"/>
        <v>282</v>
      </c>
      <c r="AD24" s="55">
        <f t="shared" si="1"/>
        <v>243</v>
      </c>
      <c r="AE24" s="24">
        <f t="shared" si="2"/>
        <v>86.170212765957444</v>
      </c>
    </row>
    <row r="25" spans="1:31" ht="15" x14ac:dyDescent="0.25">
      <c r="A25" s="56">
        <v>21</v>
      </c>
      <c r="B25" s="57" t="s">
        <v>24</v>
      </c>
      <c r="C25" s="53">
        <v>17</v>
      </c>
      <c r="D25" s="53">
        <v>17</v>
      </c>
      <c r="E25" s="53">
        <v>23</v>
      </c>
      <c r="F25" s="53">
        <v>23</v>
      </c>
      <c r="G25" s="53">
        <v>23</v>
      </c>
      <c r="H25" s="53">
        <v>23</v>
      </c>
      <c r="I25" s="53">
        <v>22</v>
      </c>
      <c r="J25" s="53">
        <v>21</v>
      </c>
      <c r="K25" s="53">
        <v>22</v>
      </c>
      <c r="L25" s="53">
        <v>21</v>
      </c>
      <c r="M25" s="53">
        <v>24</v>
      </c>
      <c r="N25" s="53">
        <v>22</v>
      </c>
      <c r="O25" s="53">
        <v>16</v>
      </c>
      <c r="P25" s="53">
        <v>10</v>
      </c>
      <c r="Q25" s="53">
        <v>17</v>
      </c>
      <c r="R25" s="59">
        <v>16</v>
      </c>
      <c r="S25" s="54">
        <v>27</v>
      </c>
      <c r="T25" s="54">
        <v>27</v>
      </c>
      <c r="U25" s="54">
        <v>23</v>
      </c>
      <c r="V25" s="54">
        <v>22</v>
      </c>
      <c r="W25" s="54">
        <v>24</v>
      </c>
      <c r="X25" s="54">
        <v>24</v>
      </c>
      <c r="Y25" s="54">
        <v>21</v>
      </c>
      <c r="Z25" s="53">
        <v>18</v>
      </c>
      <c r="AA25" s="54">
        <v>23</v>
      </c>
      <c r="AB25" s="53">
        <v>23</v>
      </c>
      <c r="AC25" s="58">
        <f t="shared" si="0"/>
        <v>282</v>
      </c>
      <c r="AD25" s="55">
        <f t="shared" si="1"/>
        <v>267</v>
      </c>
      <c r="AE25" s="24">
        <f t="shared" si="2"/>
        <v>94.680851063829792</v>
      </c>
    </row>
    <row r="26" spans="1:31" ht="15" x14ac:dyDescent="0.25">
      <c r="A26" s="56">
        <v>22</v>
      </c>
      <c r="B26" s="57" t="s">
        <v>25</v>
      </c>
      <c r="C26" s="53">
        <v>17</v>
      </c>
      <c r="D26" s="53">
        <v>14</v>
      </c>
      <c r="E26" s="53">
        <v>23</v>
      </c>
      <c r="F26" s="53">
        <v>17</v>
      </c>
      <c r="G26" s="53">
        <v>23</v>
      </c>
      <c r="H26" s="53">
        <v>21</v>
      </c>
      <c r="I26" s="53">
        <v>22</v>
      </c>
      <c r="J26" s="53">
        <v>21</v>
      </c>
      <c r="K26" s="53">
        <v>22</v>
      </c>
      <c r="L26" s="53">
        <v>17</v>
      </c>
      <c r="M26" s="53">
        <v>24</v>
      </c>
      <c r="N26" s="53">
        <v>15</v>
      </c>
      <c r="O26" s="53">
        <v>16</v>
      </c>
      <c r="P26" s="53">
        <v>13</v>
      </c>
      <c r="Q26" s="53">
        <v>17</v>
      </c>
      <c r="R26" s="58">
        <v>14</v>
      </c>
      <c r="S26" s="54">
        <v>27</v>
      </c>
      <c r="T26" s="54">
        <v>20</v>
      </c>
      <c r="U26" s="54">
        <v>23</v>
      </c>
      <c r="V26" s="54">
        <v>22</v>
      </c>
      <c r="W26" s="54">
        <v>24</v>
      </c>
      <c r="X26" s="54">
        <v>24</v>
      </c>
      <c r="Y26" s="54">
        <v>21</v>
      </c>
      <c r="Z26" s="53">
        <v>15</v>
      </c>
      <c r="AA26" s="54">
        <v>23</v>
      </c>
      <c r="AB26" s="53">
        <v>22</v>
      </c>
      <c r="AC26" s="58">
        <f t="shared" si="0"/>
        <v>282</v>
      </c>
      <c r="AD26" s="55">
        <f t="shared" si="1"/>
        <v>235</v>
      </c>
      <c r="AE26" s="24">
        <f t="shared" si="2"/>
        <v>83.333333333333343</v>
      </c>
    </row>
    <row r="27" spans="1:31" ht="15" x14ac:dyDescent="0.25">
      <c r="A27" s="56">
        <v>23</v>
      </c>
      <c r="B27" s="57" t="s">
        <v>26</v>
      </c>
      <c r="C27" s="53">
        <v>17</v>
      </c>
      <c r="D27" s="53">
        <v>17</v>
      </c>
      <c r="E27" s="53">
        <v>23</v>
      </c>
      <c r="F27" s="53">
        <v>22</v>
      </c>
      <c r="G27" s="53">
        <v>23</v>
      </c>
      <c r="H27" s="53">
        <v>22</v>
      </c>
      <c r="I27" s="53">
        <v>22</v>
      </c>
      <c r="J27" s="53">
        <v>16</v>
      </c>
      <c r="K27" s="53">
        <v>22</v>
      </c>
      <c r="L27" s="53">
        <v>18</v>
      </c>
      <c r="M27" s="53">
        <v>24</v>
      </c>
      <c r="N27" s="53">
        <v>18</v>
      </c>
      <c r="O27" s="53">
        <v>16</v>
      </c>
      <c r="P27" s="53">
        <v>9</v>
      </c>
      <c r="Q27" s="53">
        <v>17</v>
      </c>
      <c r="R27" s="59">
        <v>12</v>
      </c>
      <c r="S27" s="54">
        <v>27</v>
      </c>
      <c r="T27" s="54">
        <v>24</v>
      </c>
      <c r="U27" s="54">
        <v>23</v>
      </c>
      <c r="V27" s="54">
        <v>19</v>
      </c>
      <c r="W27" s="54">
        <v>24</v>
      </c>
      <c r="X27" s="54">
        <v>19</v>
      </c>
      <c r="Y27" s="54">
        <v>21</v>
      </c>
      <c r="Z27" s="53">
        <v>16</v>
      </c>
      <c r="AA27" s="54">
        <v>23</v>
      </c>
      <c r="AB27" s="53">
        <v>23</v>
      </c>
      <c r="AC27" s="58">
        <f t="shared" si="0"/>
        <v>282</v>
      </c>
      <c r="AD27" s="55">
        <f t="shared" si="1"/>
        <v>235</v>
      </c>
      <c r="AE27" s="24">
        <f t="shared" si="2"/>
        <v>83.333333333333343</v>
      </c>
    </row>
    <row r="28" spans="1:31" ht="15" x14ac:dyDescent="0.25">
      <c r="A28" s="56">
        <v>24</v>
      </c>
      <c r="B28" s="57" t="s">
        <v>27</v>
      </c>
      <c r="C28" s="53">
        <v>17</v>
      </c>
      <c r="D28" s="53">
        <v>17</v>
      </c>
      <c r="E28" s="53">
        <v>23</v>
      </c>
      <c r="F28" s="53">
        <v>20</v>
      </c>
      <c r="G28" s="53">
        <v>23</v>
      </c>
      <c r="H28" s="53">
        <v>22</v>
      </c>
      <c r="I28" s="53">
        <v>22</v>
      </c>
      <c r="J28" s="53">
        <v>17</v>
      </c>
      <c r="K28" s="53">
        <v>22</v>
      </c>
      <c r="L28" s="53">
        <v>18</v>
      </c>
      <c r="M28" s="53">
        <v>24</v>
      </c>
      <c r="N28" s="53">
        <v>18</v>
      </c>
      <c r="O28" s="53">
        <v>16</v>
      </c>
      <c r="P28" s="53">
        <v>10</v>
      </c>
      <c r="Q28" s="53">
        <v>17</v>
      </c>
      <c r="R28" s="58">
        <v>10</v>
      </c>
      <c r="S28" s="54">
        <v>27</v>
      </c>
      <c r="T28" s="54">
        <v>22</v>
      </c>
      <c r="U28" s="54">
        <v>23</v>
      </c>
      <c r="V28" s="54">
        <v>21</v>
      </c>
      <c r="W28" s="54">
        <v>24</v>
      </c>
      <c r="X28" s="54">
        <v>18</v>
      </c>
      <c r="Y28" s="54">
        <v>21</v>
      </c>
      <c r="Z28" s="53">
        <v>15</v>
      </c>
      <c r="AA28" s="54">
        <v>23</v>
      </c>
      <c r="AB28" s="53">
        <v>22</v>
      </c>
      <c r="AC28" s="58">
        <f t="shared" si="0"/>
        <v>282</v>
      </c>
      <c r="AD28" s="55">
        <f t="shared" si="1"/>
        <v>230</v>
      </c>
      <c r="AE28" s="24">
        <f t="shared" si="2"/>
        <v>81.560283687943254</v>
      </c>
    </row>
    <row r="29" spans="1:31" ht="15" x14ac:dyDescent="0.25">
      <c r="A29" s="56">
        <v>25</v>
      </c>
      <c r="B29" s="57" t="s">
        <v>28</v>
      </c>
      <c r="C29" s="53">
        <v>17</v>
      </c>
      <c r="D29" s="53">
        <v>17</v>
      </c>
      <c r="E29" s="53">
        <v>23</v>
      </c>
      <c r="F29" s="53">
        <v>23</v>
      </c>
      <c r="G29" s="53">
        <v>23</v>
      </c>
      <c r="H29" s="53">
        <v>21</v>
      </c>
      <c r="I29" s="53">
        <v>22</v>
      </c>
      <c r="J29" s="53">
        <v>14</v>
      </c>
      <c r="K29" s="53">
        <v>22</v>
      </c>
      <c r="L29" s="53">
        <v>20</v>
      </c>
      <c r="M29" s="53">
        <v>24</v>
      </c>
      <c r="N29" s="53">
        <v>15</v>
      </c>
      <c r="O29" s="53">
        <v>16</v>
      </c>
      <c r="P29" s="53">
        <v>11</v>
      </c>
      <c r="Q29" s="53">
        <v>17</v>
      </c>
      <c r="R29" s="59">
        <v>10</v>
      </c>
      <c r="S29" s="54">
        <v>27</v>
      </c>
      <c r="T29" s="54">
        <v>23</v>
      </c>
      <c r="U29" s="54">
        <v>23</v>
      </c>
      <c r="V29" s="54">
        <v>18</v>
      </c>
      <c r="W29" s="54">
        <v>24</v>
      </c>
      <c r="X29" s="54">
        <v>19</v>
      </c>
      <c r="Y29" s="54">
        <v>21</v>
      </c>
      <c r="Z29" s="53">
        <v>14</v>
      </c>
      <c r="AA29" s="54">
        <v>23</v>
      </c>
      <c r="AB29" s="53">
        <v>23</v>
      </c>
      <c r="AC29" s="58">
        <f t="shared" si="0"/>
        <v>282</v>
      </c>
      <c r="AD29" s="55">
        <f t="shared" si="1"/>
        <v>228</v>
      </c>
      <c r="AE29" s="24">
        <f t="shared" si="2"/>
        <v>80.851063829787222</v>
      </c>
    </row>
    <row r="30" spans="1:31" ht="15" x14ac:dyDescent="0.25">
      <c r="A30" s="56">
        <v>26</v>
      </c>
      <c r="B30" s="57" t="s">
        <v>29</v>
      </c>
      <c r="C30" s="53">
        <v>17</v>
      </c>
      <c r="D30" s="53">
        <v>14</v>
      </c>
      <c r="E30" s="53">
        <v>23</v>
      </c>
      <c r="F30" s="53">
        <v>23</v>
      </c>
      <c r="G30" s="53">
        <v>23</v>
      </c>
      <c r="H30" s="53">
        <v>23</v>
      </c>
      <c r="I30" s="53">
        <v>22</v>
      </c>
      <c r="J30" s="53">
        <v>22</v>
      </c>
      <c r="K30" s="53">
        <v>22</v>
      </c>
      <c r="L30" s="53">
        <v>13</v>
      </c>
      <c r="M30" s="53">
        <v>24</v>
      </c>
      <c r="N30" s="53">
        <v>18</v>
      </c>
      <c r="O30" s="53">
        <v>16</v>
      </c>
      <c r="P30" s="53">
        <v>10</v>
      </c>
      <c r="Q30" s="53">
        <v>17</v>
      </c>
      <c r="R30" s="58">
        <v>8</v>
      </c>
      <c r="S30" s="54">
        <v>27</v>
      </c>
      <c r="T30" s="54">
        <v>25</v>
      </c>
      <c r="U30" s="54">
        <v>23</v>
      </c>
      <c r="V30" s="54">
        <v>12</v>
      </c>
      <c r="W30" s="54">
        <v>24</v>
      </c>
      <c r="X30" s="54">
        <v>18</v>
      </c>
      <c r="Y30" s="54">
        <v>21</v>
      </c>
      <c r="Z30" s="53">
        <v>13</v>
      </c>
      <c r="AA30" s="54">
        <v>23</v>
      </c>
      <c r="AB30" s="53">
        <v>18</v>
      </c>
      <c r="AC30" s="58">
        <f t="shared" si="0"/>
        <v>282</v>
      </c>
      <c r="AD30" s="55">
        <f t="shared" si="1"/>
        <v>217</v>
      </c>
      <c r="AE30" s="24">
        <f t="shared" si="2"/>
        <v>76.950354609929079</v>
      </c>
    </row>
    <row r="31" spans="1:31" ht="15" x14ac:dyDescent="0.25">
      <c r="A31" s="56">
        <v>27</v>
      </c>
      <c r="B31" s="57" t="s">
        <v>30</v>
      </c>
      <c r="C31" s="53">
        <v>17</v>
      </c>
      <c r="D31" s="53">
        <v>17</v>
      </c>
      <c r="E31" s="53">
        <v>23</v>
      </c>
      <c r="F31" s="53">
        <v>19</v>
      </c>
      <c r="G31" s="53">
        <v>23</v>
      </c>
      <c r="H31" s="53">
        <v>19</v>
      </c>
      <c r="I31" s="53">
        <v>22</v>
      </c>
      <c r="J31" s="53">
        <v>15</v>
      </c>
      <c r="K31" s="53">
        <v>22</v>
      </c>
      <c r="L31" s="53">
        <v>17</v>
      </c>
      <c r="M31" s="53">
        <v>24</v>
      </c>
      <c r="N31" s="53">
        <v>16</v>
      </c>
      <c r="O31" s="53">
        <v>16</v>
      </c>
      <c r="P31" s="53">
        <v>10</v>
      </c>
      <c r="Q31" s="53">
        <v>17</v>
      </c>
      <c r="R31" s="59">
        <v>12</v>
      </c>
      <c r="S31" s="54">
        <v>27</v>
      </c>
      <c r="T31" s="54">
        <v>21</v>
      </c>
      <c r="U31" s="54">
        <v>23</v>
      </c>
      <c r="V31" s="54">
        <v>19</v>
      </c>
      <c r="W31" s="54">
        <v>24</v>
      </c>
      <c r="X31" s="54">
        <v>18</v>
      </c>
      <c r="Y31" s="54">
        <v>21</v>
      </c>
      <c r="Z31" s="53">
        <v>14</v>
      </c>
      <c r="AA31" s="54">
        <v>23</v>
      </c>
      <c r="AB31" s="53">
        <v>20</v>
      </c>
      <c r="AC31" s="58">
        <f t="shared" si="0"/>
        <v>282</v>
      </c>
      <c r="AD31" s="55">
        <f t="shared" si="1"/>
        <v>217</v>
      </c>
      <c r="AE31" s="24">
        <f t="shared" si="2"/>
        <v>76.950354609929079</v>
      </c>
    </row>
    <row r="32" spans="1:31" ht="15" x14ac:dyDescent="0.25">
      <c r="A32" s="56">
        <v>28</v>
      </c>
      <c r="B32" s="57" t="s">
        <v>31</v>
      </c>
      <c r="C32" s="53">
        <v>17</v>
      </c>
      <c r="D32" s="53">
        <v>15</v>
      </c>
      <c r="E32" s="53">
        <v>23</v>
      </c>
      <c r="F32" s="53">
        <v>21</v>
      </c>
      <c r="G32" s="53">
        <v>23</v>
      </c>
      <c r="H32" s="53">
        <v>21</v>
      </c>
      <c r="I32" s="53">
        <v>22</v>
      </c>
      <c r="J32" s="53">
        <v>21</v>
      </c>
      <c r="K32" s="53">
        <v>22</v>
      </c>
      <c r="L32" s="53">
        <v>20</v>
      </c>
      <c r="M32" s="53">
        <v>24</v>
      </c>
      <c r="N32" s="53">
        <v>18</v>
      </c>
      <c r="O32" s="53">
        <v>16</v>
      </c>
      <c r="P32" s="53">
        <v>14</v>
      </c>
      <c r="Q32" s="53">
        <v>17</v>
      </c>
      <c r="R32" s="58">
        <v>10</v>
      </c>
      <c r="S32" s="54">
        <v>27</v>
      </c>
      <c r="T32" s="54">
        <v>25</v>
      </c>
      <c r="U32" s="54">
        <v>23</v>
      </c>
      <c r="V32" s="54">
        <v>19</v>
      </c>
      <c r="W32" s="54">
        <v>24</v>
      </c>
      <c r="X32" s="54">
        <v>22</v>
      </c>
      <c r="Y32" s="54">
        <v>21</v>
      </c>
      <c r="Z32" s="53">
        <v>14</v>
      </c>
      <c r="AA32" s="54">
        <v>23</v>
      </c>
      <c r="AB32" s="53">
        <v>20</v>
      </c>
      <c r="AC32" s="58">
        <f t="shared" si="0"/>
        <v>282</v>
      </c>
      <c r="AD32" s="55">
        <f t="shared" si="1"/>
        <v>240</v>
      </c>
      <c r="AE32" s="24">
        <f t="shared" si="2"/>
        <v>85.106382978723403</v>
      </c>
    </row>
    <row r="33" spans="1:31" ht="15" x14ac:dyDescent="0.25">
      <c r="A33" s="56">
        <v>29</v>
      </c>
      <c r="B33" s="57" t="s">
        <v>32</v>
      </c>
      <c r="C33" s="53">
        <v>17</v>
      </c>
      <c r="D33" s="53">
        <v>17</v>
      </c>
      <c r="E33" s="53">
        <v>23</v>
      </c>
      <c r="F33" s="53">
        <v>23</v>
      </c>
      <c r="G33" s="53">
        <v>23</v>
      </c>
      <c r="H33" s="53">
        <v>23</v>
      </c>
      <c r="I33" s="53">
        <v>22</v>
      </c>
      <c r="J33" s="53">
        <v>22</v>
      </c>
      <c r="K33" s="53">
        <v>22</v>
      </c>
      <c r="L33" s="53">
        <v>20</v>
      </c>
      <c r="M33" s="53">
        <v>24</v>
      </c>
      <c r="N33" s="53">
        <v>22</v>
      </c>
      <c r="O33" s="53">
        <v>16</v>
      </c>
      <c r="P33" s="53">
        <v>13</v>
      </c>
      <c r="Q33" s="53">
        <v>17</v>
      </c>
      <c r="R33" s="59">
        <v>17</v>
      </c>
      <c r="S33" s="54">
        <v>27</v>
      </c>
      <c r="T33" s="54">
        <v>23</v>
      </c>
      <c r="U33" s="54">
        <v>23</v>
      </c>
      <c r="V33" s="54">
        <v>18</v>
      </c>
      <c r="W33" s="54">
        <v>24</v>
      </c>
      <c r="X33" s="54">
        <v>20</v>
      </c>
      <c r="Y33" s="54">
        <v>21</v>
      </c>
      <c r="Z33" s="53">
        <v>17</v>
      </c>
      <c r="AA33" s="54">
        <v>23</v>
      </c>
      <c r="AB33" s="53">
        <v>22</v>
      </c>
      <c r="AC33" s="58">
        <f t="shared" si="0"/>
        <v>282</v>
      </c>
      <c r="AD33" s="55">
        <f t="shared" si="1"/>
        <v>257</v>
      </c>
      <c r="AE33" s="24">
        <f t="shared" si="2"/>
        <v>91.134751773049643</v>
      </c>
    </row>
    <row r="34" spans="1:31" ht="15" x14ac:dyDescent="0.25">
      <c r="A34" s="56">
        <v>30</v>
      </c>
      <c r="B34" s="57" t="s">
        <v>33</v>
      </c>
      <c r="C34" s="53">
        <v>17</v>
      </c>
      <c r="D34" s="53">
        <v>17</v>
      </c>
      <c r="E34" s="53">
        <v>23</v>
      </c>
      <c r="F34" s="53">
        <v>23</v>
      </c>
      <c r="G34" s="53">
        <v>23</v>
      </c>
      <c r="H34" s="53">
        <v>23</v>
      </c>
      <c r="I34" s="53">
        <v>22</v>
      </c>
      <c r="J34" s="53">
        <v>20</v>
      </c>
      <c r="K34" s="53">
        <v>22</v>
      </c>
      <c r="L34" s="53">
        <v>19</v>
      </c>
      <c r="M34" s="53">
        <v>24</v>
      </c>
      <c r="N34" s="53">
        <v>22</v>
      </c>
      <c r="O34" s="53">
        <v>16</v>
      </c>
      <c r="P34" s="53">
        <v>11</v>
      </c>
      <c r="Q34" s="53">
        <v>17</v>
      </c>
      <c r="R34" s="58">
        <v>14</v>
      </c>
      <c r="S34" s="54">
        <v>27</v>
      </c>
      <c r="T34" s="54">
        <v>26</v>
      </c>
      <c r="U34" s="54">
        <v>23</v>
      </c>
      <c r="V34" s="54">
        <v>16</v>
      </c>
      <c r="W34" s="54">
        <v>24</v>
      </c>
      <c r="X34" s="54">
        <v>24</v>
      </c>
      <c r="Y34" s="54">
        <v>21</v>
      </c>
      <c r="Z34" s="53">
        <v>18</v>
      </c>
      <c r="AA34" s="54">
        <v>23</v>
      </c>
      <c r="AB34" s="53">
        <v>23</v>
      </c>
      <c r="AC34" s="58">
        <f t="shared" si="0"/>
        <v>282</v>
      </c>
      <c r="AD34" s="55">
        <f t="shared" si="1"/>
        <v>256</v>
      </c>
      <c r="AE34" s="24">
        <f t="shared" si="2"/>
        <v>90.780141843971634</v>
      </c>
    </row>
    <row r="35" spans="1:31" ht="15" x14ac:dyDescent="0.25">
      <c r="A35" s="56">
        <v>31</v>
      </c>
      <c r="B35" s="57" t="s">
        <v>34</v>
      </c>
      <c r="C35" s="53">
        <v>17</v>
      </c>
      <c r="D35" s="53">
        <v>16</v>
      </c>
      <c r="E35" s="53">
        <v>23</v>
      </c>
      <c r="F35" s="53">
        <v>20</v>
      </c>
      <c r="G35" s="53">
        <v>23</v>
      </c>
      <c r="H35" s="53">
        <v>22</v>
      </c>
      <c r="I35" s="53">
        <v>22</v>
      </c>
      <c r="J35" s="53">
        <v>19</v>
      </c>
      <c r="K35" s="53">
        <v>22</v>
      </c>
      <c r="L35" s="53">
        <v>17</v>
      </c>
      <c r="M35" s="53">
        <v>24</v>
      </c>
      <c r="N35" s="53">
        <v>16</v>
      </c>
      <c r="O35" s="53">
        <v>16</v>
      </c>
      <c r="P35" s="53">
        <v>12</v>
      </c>
      <c r="Q35" s="53">
        <v>17</v>
      </c>
      <c r="R35" s="59">
        <v>9</v>
      </c>
      <c r="S35" s="54">
        <v>27</v>
      </c>
      <c r="T35" s="54">
        <v>22</v>
      </c>
      <c r="U35" s="54">
        <v>23</v>
      </c>
      <c r="V35" s="54">
        <v>11</v>
      </c>
      <c r="W35" s="54">
        <v>24</v>
      </c>
      <c r="X35" s="54">
        <v>22</v>
      </c>
      <c r="Y35" s="54">
        <v>21</v>
      </c>
      <c r="Z35" s="53">
        <v>14</v>
      </c>
      <c r="AA35" s="54">
        <v>23</v>
      </c>
      <c r="AB35" s="53">
        <v>20</v>
      </c>
      <c r="AC35" s="58">
        <f t="shared" si="0"/>
        <v>282</v>
      </c>
      <c r="AD35" s="55">
        <f t="shared" si="1"/>
        <v>220</v>
      </c>
      <c r="AE35" s="24">
        <f t="shared" si="2"/>
        <v>78.01418439716312</v>
      </c>
    </row>
    <row r="36" spans="1:31" ht="15" x14ac:dyDescent="0.25">
      <c r="A36" s="56">
        <v>32</v>
      </c>
      <c r="B36" s="57" t="s">
        <v>35</v>
      </c>
      <c r="C36" s="53">
        <v>17</v>
      </c>
      <c r="D36" s="53">
        <v>16</v>
      </c>
      <c r="E36" s="53">
        <v>23</v>
      </c>
      <c r="F36" s="53">
        <v>20</v>
      </c>
      <c r="G36" s="53">
        <v>23</v>
      </c>
      <c r="H36" s="53">
        <v>22</v>
      </c>
      <c r="I36" s="53">
        <v>22</v>
      </c>
      <c r="J36" s="53">
        <v>19</v>
      </c>
      <c r="K36" s="53">
        <v>22</v>
      </c>
      <c r="L36" s="53">
        <v>20</v>
      </c>
      <c r="M36" s="53">
        <v>24</v>
      </c>
      <c r="N36" s="53">
        <v>13</v>
      </c>
      <c r="O36" s="53">
        <v>16</v>
      </c>
      <c r="P36" s="53">
        <v>11</v>
      </c>
      <c r="Q36" s="53">
        <v>17</v>
      </c>
      <c r="R36" s="58">
        <v>5</v>
      </c>
      <c r="S36" s="54">
        <v>27</v>
      </c>
      <c r="T36" s="54">
        <v>23</v>
      </c>
      <c r="U36" s="54">
        <v>23</v>
      </c>
      <c r="V36" s="54">
        <v>14</v>
      </c>
      <c r="W36" s="54">
        <v>24</v>
      </c>
      <c r="X36" s="54">
        <v>19</v>
      </c>
      <c r="Y36" s="54">
        <v>21</v>
      </c>
      <c r="Z36" s="53">
        <v>13</v>
      </c>
      <c r="AA36" s="54">
        <v>23</v>
      </c>
      <c r="AB36" s="53">
        <v>20</v>
      </c>
      <c r="AC36" s="58">
        <f t="shared" si="0"/>
        <v>282</v>
      </c>
      <c r="AD36" s="55">
        <f t="shared" si="1"/>
        <v>215</v>
      </c>
      <c r="AE36" s="24">
        <f t="shared" si="2"/>
        <v>76.24113475177306</v>
      </c>
    </row>
    <row r="37" spans="1:31" ht="15" x14ac:dyDescent="0.25">
      <c r="A37" s="56">
        <v>33</v>
      </c>
      <c r="B37" s="57" t="s">
        <v>36</v>
      </c>
      <c r="C37" s="53">
        <v>17</v>
      </c>
      <c r="D37" s="53">
        <v>17</v>
      </c>
      <c r="E37" s="53">
        <v>23</v>
      </c>
      <c r="F37" s="53">
        <v>20</v>
      </c>
      <c r="G37" s="53">
        <v>23</v>
      </c>
      <c r="H37" s="53">
        <v>23</v>
      </c>
      <c r="I37" s="53">
        <v>22</v>
      </c>
      <c r="J37" s="53">
        <v>17</v>
      </c>
      <c r="K37" s="53">
        <v>22</v>
      </c>
      <c r="L37" s="53">
        <v>20</v>
      </c>
      <c r="M37" s="53">
        <v>24</v>
      </c>
      <c r="N37" s="53">
        <v>13</v>
      </c>
      <c r="O37" s="53">
        <v>16</v>
      </c>
      <c r="P37" s="53">
        <v>14</v>
      </c>
      <c r="Q37" s="53">
        <v>17</v>
      </c>
      <c r="R37" s="59">
        <v>9</v>
      </c>
      <c r="S37" s="54">
        <v>27</v>
      </c>
      <c r="T37" s="54">
        <v>26</v>
      </c>
      <c r="U37" s="54">
        <v>23</v>
      </c>
      <c r="V37" s="54">
        <v>21</v>
      </c>
      <c r="W37" s="54">
        <v>24</v>
      </c>
      <c r="X37" s="54">
        <v>22</v>
      </c>
      <c r="Y37" s="54">
        <v>21</v>
      </c>
      <c r="Z37" s="53">
        <v>13</v>
      </c>
      <c r="AA37" s="54">
        <v>23</v>
      </c>
      <c r="AB37" s="53">
        <v>21</v>
      </c>
      <c r="AC37" s="58">
        <f t="shared" si="0"/>
        <v>282</v>
      </c>
      <c r="AD37" s="55">
        <f t="shared" si="1"/>
        <v>236</v>
      </c>
      <c r="AE37" s="24">
        <f t="shared" si="2"/>
        <v>83.687943262411352</v>
      </c>
    </row>
    <row r="38" spans="1:31" ht="15" x14ac:dyDescent="0.25">
      <c r="A38" s="56">
        <v>34</v>
      </c>
      <c r="B38" s="57" t="s">
        <v>37</v>
      </c>
      <c r="C38" s="53">
        <v>17</v>
      </c>
      <c r="D38" s="53">
        <v>14</v>
      </c>
      <c r="E38" s="53">
        <v>23</v>
      </c>
      <c r="F38" s="53">
        <v>19</v>
      </c>
      <c r="G38" s="53">
        <v>23</v>
      </c>
      <c r="H38" s="53">
        <v>20</v>
      </c>
      <c r="I38" s="53">
        <v>22</v>
      </c>
      <c r="J38" s="53">
        <v>18</v>
      </c>
      <c r="K38" s="53">
        <v>22</v>
      </c>
      <c r="L38" s="53">
        <v>19</v>
      </c>
      <c r="M38" s="53">
        <v>24</v>
      </c>
      <c r="N38" s="53">
        <v>20</v>
      </c>
      <c r="O38" s="53">
        <v>16</v>
      </c>
      <c r="P38" s="53">
        <v>9</v>
      </c>
      <c r="Q38" s="53">
        <v>17</v>
      </c>
      <c r="R38" s="58">
        <v>0</v>
      </c>
      <c r="S38" s="54">
        <v>27</v>
      </c>
      <c r="T38" s="54">
        <v>4</v>
      </c>
      <c r="U38" s="54">
        <v>23</v>
      </c>
      <c r="V38" s="54">
        <v>5</v>
      </c>
      <c r="W38" s="54">
        <v>24</v>
      </c>
      <c r="X38" s="54">
        <v>23</v>
      </c>
      <c r="Y38" s="54">
        <v>21</v>
      </c>
      <c r="Z38" s="53">
        <v>14</v>
      </c>
      <c r="AA38" s="54">
        <v>23</v>
      </c>
      <c r="AB38" s="53">
        <v>23</v>
      </c>
      <c r="AC38" s="58">
        <f t="shared" si="0"/>
        <v>282</v>
      </c>
      <c r="AD38" s="55">
        <f t="shared" si="1"/>
        <v>188</v>
      </c>
      <c r="AE38" s="65">
        <f t="shared" si="2"/>
        <v>66.666666666666657</v>
      </c>
    </row>
    <row r="39" spans="1:31" ht="30" x14ac:dyDescent="0.25">
      <c r="A39" s="56">
        <v>35</v>
      </c>
      <c r="B39" s="57" t="s">
        <v>67</v>
      </c>
      <c r="C39" s="53">
        <v>17</v>
      </c>
      <c r="D39" s="53">
        <v>17</v>
      </c>
      <c r="E39" s="53">
        <v>23</v>
      </c>
      <c r="F39" s="53">
        <v>21</v>
      </c>
      <c r="G39" s="53">
        <v>23</v>
      </c>
      <c r="H39" s="53">
        <v>22</v>
      </c>
      <c r="I39" s="53">
        <v>22</v>
      </c>
      <c r="J39" s="53">
        <v>22</v>
      </c>
      <c r="K39" s="53">
        <v>22</v>
      </c>
      <c r="L39" s="53">
        <v>21</v>
      </c>
      <c r="M39" s="53">
        <v>24</v>
      </c>
      <c r="N39" s="53">
        <v>20</v>
      </c>
      <c r="O39" s="53">
        <v>16</v>
      </c>
      <c r="P39" s="53">
        <v>13</v>
      </c>
      <c r="Q39" s="53">
        <v>17</v>
      </c>
      <c r="R39" s="59">
        <v>9</v>
      </c>
      <c r="S39" s="54">
        <v>27</v>
      </c>
      <c r="T39" s="54">
        <v>25</v>
      </c>
      <c r="U39" s="54">
        <v>23</v>
      </c>
      <c r="V39" s="54">
        <v>21</v>
      </c>
      <c r="W39" s="54">
        <v>24</v>
      </c>
      <c r="X39" s="54">
        <v>22</v>
      </c>
      <c r="Y39" s="54">
        <v>21</v>
      </c>
      <c r="Z39" s="53">
        <v>18</v>
      </c>
      <c r="AA39" s="54">
        <v>23</v>
      </c>
      <c r="AB39" s="53">
        <v>13</v>
      </c>
      <c r="AC39" s="58">
        <f t="shared" si="0"/>
        <v>282</v>
      </c>
      <c r="AD39" s="55">
        <f t="shared" si="1"/>
        <v>244</v>
      </c>
      <c r="AE39" s="24">
        <f t="shared" si="2"/>
        <v>86.524822695035468</v>
      </c>
    </row>
    <row r="40" spans="1:31" ht="15" x14ac:dyDescent="0.25">
      <c r="A40" s="56">
        <v>36</v>
      </c>
      <c r="B40" s="57" t="s">
        <v>38</v>
      </c>
      <c r="C40" s="53">
        <v>17</v>
      </c>
      <c r="D40" s="53">
        <v>17</v>
      </c>
      <c r="E40" s="53">
        <v>23</v>
      </c>
      <c r="F40" s="53">
        <v>22</v>
      </c>
      <c r="G40" s="53">
        <v>23</v>
      </c>
      <c r="H40" s="53">
        <v>22</v>
      </c>
      <c r="I40" s="53">
        <v>22</v>
      </c>
      <c r="J40" s="53">
        <v>17</v>
      </c>
      <c r="K40" s="53">
        <v>22</v>
      </c>
      <c r="L40" s="53">
        <v>18</v>
      </c>
      <c r="M40" s="53">
        <v>24</v>
      </c>
      <c r="N40" s="53">
        <v>17</v>
      </c>
      <c r="O40" s="53">
        <v>16</v>
      </c>
      <c r="P40" s="53">
        <v>12</v>
      </c>
      <c r="Q40" s="53">
        <v>17</v>
      </c>
      <c r="R40" s="58">
        <v>13</v>
      </c>
      <c r="S40" s="54">
        <v>27</v>
      </c>
      <c r="T40" s="54">
        <v>17</v>
      </c>
      <c r="U40" s="54">
        <v>23</v>
      </c>
      <c r="V40" s="54">
        <v>19</v>
      </c>
      <c r="W40" s="54">
        <v>24</v>
      </c>
      <c r="X40" s="54">
        <v>20</v>
      </c>
      <c r="Y40" s="54">
        <v>21</v>
      </c>
      <c r="Z40" s="53">
        <v>15</v>
      </c>
      <c r="AA40" s="54">
        <v>23</v>
      </c>
      <c r="AB40" s="53">
        <v>21</v>
      </c>
      <c r="AC40" s="58">
        <f t="shared" si="0"/>
        <v>282</v>
      </c>
      <c r="AD40" s="55">
        <f t="shared" si="1"/>
        <v>230</v>
      </c>
      <c r="AE40" s="24">
        <f t="shared" si="2"/>
        <v>81.560283687943254</v>
      </c>
    </row>
    <row r="41" spans="1:31" ht="15" x14ac:dyDescent="0.25">
      <c r="A41" s="56">
        <v>37</v>
      </c>
      <c r="B41" s="57" t="s">
        <v>39</v>
      </c>
      <c r="C41" s="53">
        <v>17</v>
      </c>
      <c r="D41" s="53">
        <v>17</v>
      </c>
      <c r="E41" s="53">
        <v>23</v>
      </c>
      <c r="F41" s="53">
        <v>23</v>
      </c>
      <c r="G41" s="53">
        <v>23</v>
      </c>
      <c r="H41" s="53">
        <v>23</v>
      </c>
      <c r="I41" s="53">
        <v>22</v>
      </c>
      <c r="J41" s="53">
        <v>22</v>
      </c>
      <c r="K41" s="53">
        <v>22</v>
      </c>
      <c r="L41" s="53">
        <v>21</v>
      </c>
      <c r="M41" s="53">
        <v>24</v>
      </c>
      <c r="N41" s="53">
        <v>21</v>
      </c>
      <c r="O41" s="53">
        <v>16</v>
      </c>
      <c r="P41" s="53">
        <v>14</v>
      </c>
      <c r="Q41" s="53">
        <v>17</v>
      </c>
      <c r="R41" s="59">
        <v>17</v>
      </c>
      <c r="S41" s="54">
        <v>27</v>
      </c>
      <c r="T41" s="54">
        <v>27</v>
      </c>
      <c r="U41" s="54">
        <v>23</v>
      </c>
      <c r="V41" s="54">
        <v>22</v>
      </c>
      <c r="W41" s="54">
        <v>24</v>
      </c>
      <c r="X41" s="54">
        <v>24</v>
      </c>
      <c r="Y41" s="54">
        <v>21</v>
      </c>
      <c r="Z41" s="53">
        <v>13</v>
      </c>
      <c r="AA41" s="54">
        <v>23</v>
      </c>
      <c r="AB41" s="53">
        <v>20</v>
      </c>
      <c r="AC41" s="58">
        <f t="shared" si="0"/>
        <v>282</v>
      </c>
      <c r="AD41" s="55">
        <f t="shared" si="1"/>
        <v>264</v>
      </c>
      <c r="AE41" s="24">
        <f t="shared" si="2"/>
        <v>93.61702127659575</v>
      </c>
    </row>
    <row r="42" spans="1:31" ht="15" x14ac:dyDescent="0.25">
      <c r="A42" s="56">
        <v>38</v>
      </c>
      <c r="B42" s="57" t="s">
        <v>40</v>
      </c>
      <c r="C42" s="53">
        <v>17</v>
      </c>
      <c r="D42" s="53">
        <v>17</v>
      </c>
      <c r="E42" s="53">
        <v>23</v>
      </c>
      <c r="F42" s="53">
        <v>23</v>
      </c>
      <c r="G42" s="53">
        <v>23</v>
      </c>
      <c r="H42" s="53">
        <v>23</v>
      </c>
      <c r="I42" s="53">
        <v>22</v>
      </c>
      <c r="J42" s="53">
        <v>21</v>
      </c>
      <c r="K42" s="53">
        <v>22</v>
      </c>
      <c r="L42" s="53">
        <v>20</v>
      </c>
      <c r="M42" s="53">
        <v>24</v>
      </c>
      <c r="N42" s="53">
        <v>19</v>
      </c>
      <c r="O42" s="53">
        <v>16</v>
      </c>
      <c r="P42" s="53">
        <v>16</v>
      </c>
      <c r="Q42" s="53">
        <v>17</v>
      </c>
      <c r="R42" s="58">
        <v>16</v>
      </c>
      <c r="S42" s="54">
        <v>27</v>
      </c>
      <c r="T42" s="54">
        <v>27</v>
      </c>
      <c r="U42" s="54">
        <v>23</v>
      </c>
      <c r="V42" s="54">
        <v>15</v>
      </c>
      <c r="W42" s="54">
        <v>24</v>
      </c>
      <c r="X42" s="54">
        <v>24</v>
      </c>
      <c r="Y42" s="54">
        <v>21</v>
      </c>
      <c r="Z42" s="53">
        <v>19</v>
      </c>
      <c r="AA42" s="54">
        <v>23</v>
      </c>
      <c r="AB42" s="53">
        <v>22</v>
      </c>
      <c r="AC42" s="58">
        <f t="shared" si="0"/>
        <v>282</v>
      </c>
      <c r="AD42" s="55">
        <f t="shared" si="1"/>
        <v>262</v>
      </c>
      <c r="AE42" s="24">
        <f t="shared" si="2"/>
        <v>92.907801418439718</v>
      </c>
    </row>
    <row r="43" spans="1:31" ht="15" x14ac:dyDescent="0.25">
      <c r="A43" s="56">
        <v>39</v>
      </c>
      <c r="B43" s="57" t="s">
        <v>41</v>
      </c>
      <c r="C43" s="53">
        <v>17</v>
      </c>
      <c r="D43" s="53">
        <v>16</v>
      </c>
      <c r="E43" s="53">
        <v>23</v>
      </c>
      <c r="F43" s="53">
        <v>21</v>
      </c>
      <c r="G43" s="53">
        <v>23</v>
      </c>
      <c r="H43" s="53">
        <v>23</v>
      </c>
      <c r="I43" s="53">
        <v>22</v>
      </c>
      <c r="J43" s="53">
        <v>17</v>
      </c>
      <c r="K43" s="53">
        <v>22</v>
      </c>
      <c r="L43" s="53">
        <v>19</v>
      </c>
      <c r="M43" s="53">
        <v>24</v>
      </c>
      <c r="N43" s="53">
        <v>19</v>
      </c>
      <c r="O43" s="53">
        <v>16</v>
      </c>
      <c r="P43" s="53">
        <v>14</v>
      </c>
      <c r="Q43" s="53">
        <v>17</v>
      </c>
      <c r="R43" s="59">
        <v>7</v>
      </c>
      <c r="S43" s="54">
        <v>27</v>
      </c>
      <c r="T43" s="54">
        <v>25</v>
      </c>
      <c r="U43" s="54">
        <v>23</v>
      </c>
      <c r="V43" s="54">
        <v>21</v>
      </c>
      <c r="W43" s="54">
        <v>24</v>
      </c>
      <c r="X43" s="54">
        <v>21</v>
      </c>
      <c r="Y43" s="54">
        <v>21</v>
      </c>
      <c r="Z43" s="53">
        <v>13</v>
      </c>
      <c r="AA43" s="54">
        <v>23</v>
      </c>
      <c r="AB43" s="53">
        <v>20</v>
      </c>
      <c r="AC43" s="58">
        <f t="shared" si="0"/>
        <v>282</v>
      </c>
      <c r="AD43" s="55">
        <f t="shared" si="1"/>
        <v>236</v>
      </c>
      <c r="AE43" s="24">
        <f t="shared" si="2"/>
        <v>83.687943262411352</v>
      </c>
    </row>
    <row r="44" spans="1:31" ht="15" x14ac:dyDescent="0.25">
      <c r="A44" s="56">
        <v>40</v>
      </c>
      <c r="B44" s="57" t="s">
        <v>42</v>
      </c>
      <c r="C44" s="53">
        <v>17</v>
      </c>
      <c r="D44" s="53">
        <v>16</v>
      </c>
      <c r="E44" s="53">
        <v>23</v>
      </c>
      <c r="F44" s="53">
        <v>22</v>
      </c>
      <c r="G44" s="53">
        <v>23</v>
      </c>
      <c r="H44" s="53">
        <v>21</v>
      </c>
      <c r="I44" s="53">
        <v>22</v>
      </c>
      <c r="J44" s="53">
        <v>18</v>
      </c>
      <c r="K44" s="53">
        <v>22</v>
      </c>
      <c r="L44" s="53">
        <v>18</v>
      </c>
      <c r="M44" s="53">
        <v>24</v>
      </c>
      <c r="N44" s="53">
        <v>14</v>
      </c>
      <c r="O44" s="53">
        <v>16</v>
      </c>
      <c r="P44" s="53">
        <v>11</v>
      </c>
      <c r="Q44" s="53">
        <v>17</v>
      </c>
      <c r="R44" s="58">
        <v>13</v>
      </c>
      <c r="S44" s="54">
        <v>27</v>
      </c>
      <c r="T44" s="54">
        <v>23</v>
      </c>
      <c r="U44" s="54">
        <v>23</v>
      </c>
      <c r="V44" s="54">
        <v>19</v>
      </c>
      <c r="W44" s="54">
        <v>24</v>
      </c>
      <c r="X44" s="54">
        <v>23</v>
      </c>
      <c r="Y44" s="54">
        <v>21</v>
      </c>
      <c r="Z44" s="53">
        <v>15</v>
      </c>
      <c r="AA44" s="54">
        <v>23</v>
      </c>
      <c r="AB44" s="53">
        <v>22</v>
      </c>
      <c r="AC44" s="58">
        <f t="shared" si="0"/>
        <v>282</v>
      </c>
      <c r="AD44" s="55">
        <f t="shared" si="1"/>
        <v>235</v>
      </c>
      <c r="AE44" s="24">
        <f t="shared" si="2"/>
        <v>83.333333333333343</v>
      </c>
    </row>
    <row r="45" spans="1:31" ht="15" x14ac:dyDescent="0.25">
      <c r="A45" s="56">
        <v>41</v>
      </c>
      <c r="B45" s="57" t="s">
        <v>43</v>
      </c>
      <c r="C45" s="53">
        <v>17</v>
      </c>
      <c r="D45" s="53">
        <v>17</v>
      </c>
      <c r="E45" s="53">
        <v>23</v>
      </c>
      <c r="F45" s="53">
        <v>22</v>
      </c>
      <c r="G45" s="53">
        <v>23</v>
      </c>
      <c r="H45" s="53">
        <v>23</v>
      </c>
      <c r="I45" s="53">
        <v>22</v>
      </c>
      <c r="J45" s="53">
        <v>18</v>
      </c>
      <c r="K45" s="53">
        <v>22</v>
      </c>
      <c r="L45" s="53">
        <v>20</v>
      </c>
      <c r="M45" s="53">
        <v>24</v>
      </c>
      <c r="N45" s="53">
        <v>19</v>
      </c>
      <c r="O45" s="53">
        <v>16</v>
      </c>
      <c r="P45" s="53">
        <v>13</v>
      </c>
      <c r="Q45" s="53">
        <v>17</v>
      </c>
      <c r="R45" s="59">
        <v>12</v>
      </c>
      <c r="S45" s="54">
        <v>27</v>
      </c>
      <c r="T45" s="54">
        <v>24</v>
      </c>
      <c r="U45" s="54">
        <v>23</v>
      </c>
      <c r="V45" s="54">
        <v>20</v>
      </c>
      <c r="W45" s="54">
        <v>24</v>
      </c>
      <c r="X45" s="54">
        <v>21</v>
      </c>
      <c r="Y45" s="54">
        <v>21</v>
      </c>
      <c r="Z45" s="53">
        <v>16</v>
      </c>
      <c r="AA45" s="54">
        <v>23</v>
      </c>
      <c r="AB45" s="53">
        <v>20</v>
      </c>
      <c r="AC45" s="58">
        <f t="shared" si="0"/>
        <v>282</v>
      </c>
      <c r="AD45" s="55">
        <f t="shared" si="1"/>
        <v>245</v>
      </c>
      <c r="AE45" s="24">
        <f t="shared" si="2"/>
        <v>86.879432624113477</v>
      </c>
    </row>
    <row r="46" spans="1:31" ht="15" x14ac:dyDescent="0.25">
      <c r="A46" s="56">
        <v>42</v>
      </c>
      <c r="B46" s="57" t="s">
        <v>44</v>
      </c>
      <c r="C46" s="53">
        <v>17</v>
      </c>
      <c r="D46" s="53">
        <v>17</v>
      </c>
      <c r="E46" s="53">
        <v>23</v>
      </c>
      <c r="F46" s="53">
        <v>23</v>
      </c>
      <c r="G46" s="53">
        <v>23</v>
      </c>
      <c r="H46" s="53">
        <v>23</v>
      </c>
      <c r="I46" s="53">
        <v>22</v>
      </c>
      <c r="J46" s="53">
        <v>21</v>
      </c>
      <c r="K46" s="53">
        <v>22</v>
      </c>
      <c r="L46" s="53">
        <v>21</v>
      </c>
      <c r="M46" s="53">
        <v>24</v>
      </c>
      <c r="N46" s="53">
        <v>19</v>
      </c>
      <c r="O46" s="53">
        <v>16</v>
      </c>
      <c r="P46" s="53">
        <v>13</v>
      </c>
      <c r="Q46" s="53">
        <v>17</v>
      </c>
      <c r="R46" s="58">
        <v>17</v>
      </c>
      <c r="S46" s="54">
        <v>27</v>
      </c>
      <c r="T46" s="54">
        <v>25</v>
      </c>
      <c r="U46" s="54">
        <v>23</v>
      </c>
      <c r="V46" s="54">
        <v>23</v>
      </c>
      <c r="W46" s="54">
        <v>24</v>
      </c>
      <c r="X46" s="54">
        <v>24</v>
      </c>
      <c r="Y46" s="54">
        <v>21</v>
      </c>
      <c r="Z46" s="53">
        <v>18</v>
      </c>
      <c r="AA46" s="54">
        <v>23</v>
      </c>
      <c r="AB46" s="53">
        <v>20</v>
      </c>
      <c r="AC46" s="58">
        <f t="shared" si="0"/>
        <v>282</v>
      </c>
      <c r="AD46" s="55">
        <f t="shared" si="1"/>
        <v>264</v>
      </c>
      <c r="AE46" s="24">
        <f t="shared" si="2"/>
        <v>93.61702127659575</v>
      </c>
    </row>
    <row r="47" spans="1:31" ht="15" x14ac:dyDescent="0.25">
      <c r="A47" s="56">
        <v>43</v>
      </c>
      <c r="B47" s="57" t="s">
        <v>45</v>
      </c>
      <c r="C47" s="53">
        <v>17</v>
      </c>
      <c r="D47" s="53">
        <v>17</v>
      </c>
      <c r="E47" s="53">
        <v>23</v>
      </c>
      <c r="F47" s="53">
        <v>23</v>
      </c>
      <c r="G47" s="53">
        <v>23</v>
      </c>
      <c r="H47" s="53">
        <v>21</v>
      </c>
      <c r="I47" s="53">
        <v>22</v>
      </c>
      <c r="J47" s="53">
        <v>19</v>
      </c>
      <c r="K47" s="53">
        <v>22</v>
      </c>
      <c r="L47" s="53">
        <v>21</v>
      </c>
      <c r="M47" s="53">
        <v>24</v>
      </c>
      <c r="N47" s="53">
        <v>19</v>
      </c>
      <c r="O47" s="53">
        <v>16</v>
      </c>
      <c r="P47" s="53">
        <v>14</v>
      </c>
      <c r="Q47" s="53">
        <v>17</v>
      </c>
      <c r="R47" s="59">
        <v>12</v>
      </c>
      <c r="S47" s="54">
        <v>27</v>
      </c>
      <c r="T47" s="54">
        <v>24</v>
      </c>
      <c r="U47" s="54">
        <v>23</v>
      </c>
      <c r="V47" s="54">
        <v>22</v>
      </c>
      <c r="W47" s="54">
        <v>24</v>
      </c>
      <c r="X47" s="54">
        <v>20</v>
      </c>
      <c r="Y47" s="54">
        <v>21</v>
      </c>
      <c r="Z47" s="53">
        <v>15</v>
      </c>
      <c r="AA47" s="54">
        <v>23</v>
      </c>
      <c r="AB47" s="53">
        <v>10</v>
      </c>
      <c r="AC47" s="58">
        <f t="shared" si="0"/>
        <v>282</v>
      </c>
      <c r="AD47" s="55">
        <f t="shared" si="1"/>
        <v>237</v>
      </c>
      <c r="AE47" s="24">
        <f t="shared" si="2"/>
        <v>84.042553191489361</v>
      </c>
    </row>
    <row r="48" spans="1:31" ht="15" x14ac:dyDescent="0.25">
      <c r="A48" s="56">
        <v>44</v>
      </c>
      <c r="B48" s="57" t="s">
        <v>46</v>
      </c>
      <c r="C48" s="53">
        <v>17</v>
      </c>
      <c r="D48" s="53">
        <v>14</v>
      </c>
      <c r="E48" s="53">
        <v>23</v>
      </c>
      <c r="F48" s="53">
        <v>18</v>
      </c>
      <c r="G48" s="53">
        <v>23</v>
      </c>
      <c r="H48" s="53">
        <v>20</v>
      </c>
      <c r="I48" s="53">
        <v>22</v>
      </c>
      <c r="J48" s="53">
        <v>17</v>
      </c>
      <c r="K48" s="53">
        <v>22</v>
      </c>
      <c r="L48" s="53">
        <v>17</v>
      </c>
      <c r="M48" s="53">
        <v>24</v>
      </c>
      <c r="N48" s="53">
        <v>18</v>
      </c>
      <c r="O48" s="53">
        <v>16</v>
      </c>
      <c r="P48" s="53">
        <v>13</v>
      </c>
      <c r="Q48" s="53">
        <v>17</v>
      </c>
      <c r="R48" s="58">
        <v>7</v>
      </c>
      <c r="S48" s="54">
        <v>27</v>
      </c>
      <c r="T48" s="54">
        <v>13</v>
      </c>
      <c r="U48" s="54">
        <v>23</v>
      </c>
      <c r="V48" s="54">
        <v>14</v>
      </c>
      <c r="W48" s="54">
        <v>24</v>
      </c>
      <c r="X48" s="54">
        <v>13</v>
      </c>
      <c r="Y48" s="54">
        <v>21</v>
      </c>
      <c r="Z48" s="53">
        <v>12</v>
      </c>
      <c r="AA48" s="54">
        <v>23</v>
      </c>
      <c r="AB48" s="53">
        <v>12</v>
      </c>
      <c r="AC48" s="58">
        <f t="shared" si="0"/>
        <v>282</v>
      </c>
      <c r="AD48" s="55">
        <f t="shared" si="1"/>
        <v>188</v>
      </c>
      <c r="AE48" s="65">
        <f t="shared" si="2"/>
        <v>66.666666666666657</v>
      </c>
    </row>
    <row r="49" spans="1:31" ht="15" x14ac:dyDescent="0.25">
      <c r="A49" s="56">
        <v>45</v>
      </c>
      <c r="B49" s="57" t="s">
        <v>47</v>
      </c>
      <c r="C49" s="53">
        <v>17</v>
      </c>
      <c r="D49" s="53">
        <v>14</v>
      </c>
      <c r="E49" s="53">
        <v>23</v>
      </c>
      <c r="F49" s="53">
        <v>19</v>
      </c>
      <c r="G49" s="53">
        <v>23</v>
      </c>
      <c r="H49" s="53">
        <v>20</v>
      </c>
      <c r="I49" s="53">
        <v>22</v>
      </c>
      <c r="J49" s="53">
        <v>19</v>
      </c>
      <c r="K49" s="53">
        <v>22</v>
      </c>
      <c r="L49" s="53">
        <v>19</v>
      </c>
      <c r="M49" s="53">
        <v>24</v>
      </c>
      <c r="N49" s="53">
        <v>13</v>
      </c>
      <c r="O49" s="53">
        <v>16</v>
      </c>
      <c r="P49" s="53">
        <v>11</v>
      </c>
      <c r="Q49" s="53">
        <v>17</v>
      </c>
      <c r="R49" s="59">
        <v>14</v>
      </c>
      <c r="S49" s="54">
        <v>27</v>
      </c>
      <c r="T49" s="54">
        <v>21</v>
      </c>
      <c r="U49" s="54">
        <v>23</v>
      </c>
      <c r="V49" s="54">
        <v>17</v>
      </c>
      <c r="W49" s="54">
        <v>24</v>
      </c>
      <c r="X49" s="54">
        <v>22</v>
      </c>
      <c r="Y49" s="54">
        <v>21</v>
      </c>
      <c r="Z49" s="53">
        <v>14</v>
      </c>
      <c r="AA49" s="54">
        <v>23</v>
      </c>
      <c r="AB49" s="53">
        <v>22</v>
      </c>
      <c r="AC49" s="58">
        <f t="shared" si="0"/>
        <v>282</v>
      </c>
      <c r="AD49" s="55">
        <f t="shared" si="1"/>
        <v>225</v>
      </c>
      <c r="AE49" s="24">
        <f t="shared" si="2"/>
        <v>79.787234042553195</v>
      </c>
    </row>
    <row r="50" spans="1:31" ht="15" x14ac:dyDescent="0.25">
      <c r="A50" s="56">
        <v>46</v>
      </c>
      <c r="B50" s="57" t="s">
        <v>48</v>
      </c>
      <c r="C50" s="53">
        <v>17</v>
      </c>
      <c r="D50" s="53">
        <v>14</v>
      </c>
      <c r="E50" s="53">
        <v>23</v>
      </c>
      <c r="F50" s="53">
        <v>19</v>
      </c>
      <c r="G50" s="53">
        <v>23</v>
      </c>
      <c r="H50" s="53">
        <v>21</v>
      </c>
      <c r="I50" s="53">
        <v>22</v>
      </c>
      <c r="J50" s="53">
        <v>20</v>
      </c>
      <c r="K50" s="53">
        <v>22</v>
      </c>
      <c r="L50" s="53">
        <v>19</v>
      </c>
      <c r="M50" s="53">
        <v>24</v>
      </c>
      <c r="N50" s="53">
        <v>18</v>
      </c>
      <c r="O50" s="53">
        <v>16</v>
      </c>
      <c r="P50" s="53">
        <v>9</v>
      </c>
      <c r="Q50" s="53">
        <v>17</v>
      </c>
      <c r="R50" s="58">
        <v>15</v>
      </c>
      <c r="S50" s="54">
        <v>27</v>
      </c>
      <c r="T50" s="54">
        <v>20</v>
      </c>
      <c r="U50" s="54">
        <v>23</v>
      </c>
      <c r="V50" s="54">
        <v>19</v>
      </c>
      <c r="W50" s="54">
        <v>24</v>
      </c>
      <c r="X50" s="54">
        <v>21</v>
      </c>
      <c r="Y50" s="54">
        <v>21</v>
      </c>
      <c r="Z50" s="53">
        <v>16</v>
      </c>
      <c r="AA50" s="54">
        <v>23</v>
      </c>
      <c r="AB50" s="53">
        <v>23</v>
      </c>
      <c r="AC50" s="58">
        <f t="shared" si="0"/>
        <v>282</v>
      </c>
      <c r="AD50" s="55">
        <f t="shared" si="1"/>
        <v>234</v>
      </c>
      <c r="AE50" s="24">
        <f t="shared" si="2"/>
        <v>82.978723404255319</v>
      </c>
    </row>
    <row r="51" spans="1:31" ht="15" x14ac:dyDescent="0.25">
      <c r="A51" s="56">
        <v>47</v>
      </c>
      <c r="B51" s="57" t="s">
        <v>49</v>
      </c>
      <c r="C51" s="53">
        <v>17</v>
      </c>
      <c r="D51" s="53">
        <v>15</v>
      </c>
      <c r="E51" s="53">
        <v>23</v>
      </c>
      <c r="F51" s="53">
        <v>21</v>
      </c>
      <c r="G51" s="53">
        <v>23</v>
      </c>
      <c r="H51" s="53">
        <v>22</v>
      </c>
      <c r="I51" s="53">
        <v>22</v>
      </c>
      <c r="J51" s="53">
        <v>20</v>
      </c>
      <c r="K51" s="53">
        <v>22</v>
      </c>
      <c r="L51" s="53">
        <v>18</v>
      </c>
      <c r="M51" s="53">
        <v>24</v>
      </c>
      <c r="N51" s="53">
        <v>17</v>
      </c>
      <c r="O51" s="53">
        <v>16</v>
      </c>
      <c r="P51" s="53">
        <v>11</v>
      </c>
      <c r="Q51" s="53">
        <v>17</v>
      </c>
      <c r="R51" s="59">
        <v>16</v>
      </c>
      <c r="S51" s="54">
        <v>27</v>
      </c>
      <c r="T51" s="54">
        <v>21</v>
      </c>
      <c r="U51" s="54">
        <v>23</v>
      </c>
      <c r="V51" s="54">
        <v>19</v>
      </c>
      <c r="W51" s="54">
        <v>24</v>
      </c>
      <c r="X51" s="54">
        <v>20</v>
      </c>
      <c r="Y51" s="54">
        <v>21</v>
      </c>
      <c r="Z51" s="53">
        <v>15</v>
      </c>
      <c r="AA51" s="54">
        <v>23</v>
      </c>
      <c r="AB51" s="53">
        <v>21</v>
      </c>
      <c r="AC51" s="58">
        <f t="shared" si="0"/>
        <v>282</v>
      </c>
      <c r="AD51" s="55">
        <f t="shared" si="1"/>
        <v>236</v>
      </c>
      <c r="AE51" s="24">
        <f t="shared" si="2"/>
        <v>83.687943262411352</v>
      </c>
    </row>
    <row r="52" spans="1:31" ht="15" x14ac:dyDescent="0.25">
      <c r="A52" s="56">
        <v>48</v>
      </c>
      <c r="B52" s="57" t="s">
        <v>50</v>
      </c>
      <c r="C52" s="53">
        <v>17</v>
      </c>
      <c r="D52" s="53">
        <v>17</v>
      </c>
      <c r="E52" s="53">
        <v>23</v>
      </c>
      <c r="F52" s="53">
        <v>20</v>
      </c>
      <c r="G52" s="53">
        <v>23</v>
      </c>
      <c r="H52" s="53">
        <v>18</v>
      </c>
      <c r="I52" s="53">
        <v>22</v>
      </c>
      <c r="J52" s="53">
        <v>17</v>
      </c>
      <c r="K52" s="53">
        <v>22</v>
      </c>
      <c r="L52" s="53">
        <v>19</v>
      </c>
      <c r="M52" s="53">
        <v>24</v>
      </c>
      <c r="N52" s="53">
        <v>19</v>
      </c>
      <c r="O52" s="53">
        <v>16</v>
      </c>
      <c r="P52" s="53">
        <v>11</v>
      </c>
      <c r="Q52" s="53">
        <v>17</v>
      </c>
      <c r="R52" s="58">
        <v>11</v>
      </c>
      <c r="S52" s="54">
        <v>27</v>
      </c>
      <c r="T52" s="54">
        <v>17</v>
      </c>
      <c r="U52" s="54">
        <v>23</v>
      </c>
      <c r="V52" s="54">
        <v>18</v>
      </c>
      <c r="W52" s="54">
        <v>24</v>
      </c>
      <c r="X52" s="54">
        <v>21</v>
      </c>
      <c r="Y52" s="54">
        <v>21</v>
      </c>
      <c r="Z52" s="53">
        <v>16</v>
      </c>
      <c r="AA52" s="54">
        <v>23</v>
      </c>
      <c r="AB52" s="53">
        <v>20</v>
      </c>
      <c r="AC52" s="58">
        <f t="shared" si="0"/>
        <v>282</v>
      </c>
      <c r="AD52" s="55">
        <f t="shared" si="1"/>
        <v>224</v>
      </c>
      <c r="AE52" s="24">
        <f t="shared" si="2"/>
        <v>79.432624113475185</v>
      </c>
    </row>
    <row r="53" spans="1:31" ht="15" x14ac:dyDescent="0.25">
      <c r="A53" s="56">
        <v>49</v>
      </c>
      <c r="B53" s="57" t="s">
        <v>51</v>
      </c>
      <c r="C53" s="53">
        <v>17</v>
      </c>
      <c r="D53" s="53">
        <v>17</v>
      </c>
      <c r="E53" s="53">
        <v>23</v>
      </c>
      <c r="F53" s="53">
        <v>22</v>
      </c>
      <c r="G53" s="53">
        <v>23</v>
      </c>
      <c r="H53" s="53">
        <v>18</v>
      </c>
      <c r="I53" s="53">
        <v>22</v>
      </c>
      <c r="J53" s="53">
        <v>16</v>
      </c>
      <c r="K53" s="53">
        <v>22</v>
      </c>
      <c r="L53" s="53">
        <v>19</v>
      </c>
      <c r="M53" s="53">
        <v>24</v>
      </c>
      <c r="N53" s="53">
        <v>17</v>
      </c>
      <c r="O53" s="53">
        <v>16</v>
      </c>
      <c r="P53" s="53">
        <v>9</v>
      </c>
      <c r="Q53" s="53">
        <v>17</v>
      </c>
      <c r="R53" s="59">
        <v>14</v>
      </c>
      <c r="S53" s="54">
        <v>27</v>
      </c>
      <c r="T53" s="54">
        <v>23</v>
      </c>
      <c r="U53" s="54">
        <v>23</v>
      </c>
      <c r="V53" s="54">
        <v>17</v>
      </c>
      <c r="W53" s="54">
        <v>24</v>
      </c>
      <c r="X53" s="54">
        <v>18</v>
      </c>
      <c r="Y53" s="54">
        <v>21</v>
      </c>
      <c r="Z53" s="53">
        <v>16</v>
      </c>
      <c r="AA53" s="54">
        <v>23</v>
      </c>
      <c r="AB53" s="53">
        <v>20</v>
      </c>
      <c r="AC53" s="58">
        <f t="shared" si="0"/>
        <v>282</v>
      </c>
      <c r="AD53" s="55">
        <f t="shared" si="1"/>
        <v>226</v>
      </c>
      <c r="AE53" s="24">
        <f t="shared" si="2"/>
        <v>80.141843971631204</v>
      </c>
    </row>
    <row r="54" spans="1:31" ht="15" x14ac:dyDescent="0.25">
      <c r="A54" s="56">
        <v>50</v>
      </c>
      <c r="B54" s="57" t="s">
        <v>52</v>
      </c>
      <c r="C54" s="53">
        <v>17</v>
      </c>
      <c r="D54" s="53">
        <v>17</v>
      </c>
      <c r="E54" s="53">
        <v>23</v>
      </c>
      <c r="F54" s="53">
        <v>21</v>
      </c>
      <c r="G54" s="53">
        <v>23</v>
      </c>
      <c r="H54" s="53">
        <v>22</v>
      </c>
      <c r="I54" s="53">
        <v>22</v>
      </c>
      <c r="J54" s="53">
        <v>7</v>
      </c>
      <c r="K54" s="53">
        <v>22</v>
      </c>
      <c r="L54" s="53">
        <v>21</v>
      </c>
      <c r="M54" s="53">
        <v>24</v>
      </c>
      <c r="N54" s="53">
        <v>20</v>
      </c>
      <c r="O54" s="53">
        <v>16</v>
      </c>
      <c r="P54" s="53">
        <v>7</v>
      </c>
      <c r="Q54" s="53">
        <v>17</v>
      </c>
      <c r="R54" s="58">
        <v>16</v>
      </c>
      <c r="S54" s="54">
        <v>27</v>
      </c>
      <c r="T54" s="54">
        <v>23</v>
      </c>
      <c r="U54" s="54">
        <v>23</v>
      </c>
      <c r="V54" s="54">
        <v>19</v>
      </c>
      <c r="W54" s="54">
        <v>24</v>
      </c>
      <c r="X54" s="54">
        <v>24</v>
      </c>
      <c r="Y54" s="54">
        <v>21</v>
      </c>
      <c r="Z54" s="53">
        <v>18</v>
      </c>
      <c r="AA54" s="54">
        <v>23</v>
      </c>
      <c r="AB54" s="53">
        <v>23</v>
      </c>
      <c r="AC54" s="58">
        <f t="shared" si="0"/>
        <v>282</v>
      </c>
      <c r="AD54" s="55">
        <f t="shared" si="1"/>
        <v>238</v>
      </c>
      <c r="AE54" s="24">
        <f t="shared" si="2"/>
        <v>84.39716312056737</v>
      </c>
    </row>
    <row r="55" spans="1:31" ht="15" x14ac:dyDescent="0.25">
      <c r="A55" s="56">
        <v>51</v>
      </c>
      <c r="B55" s="57" t="s">
        <v>53</v>
      </c>
      <c r="C55" s="53">
        <v>17</v>
      </c>
      <c r="D55" s="53">
        <v>17</v>
      </c>
      <c r="E55" s="53">
        <v>23</v>
      </c>
      <c r="F55" s="53">
        <v>22</v>
      </c>
      <c r="G55" s="53">
        <v>23</v>
      </c>
      <c r="H55" s="53">
        <v>23</v>
      </c>
      <c r="I55" s="53">
        <v>22</v>
      </c>
      <c r="J55" s="53">
        <v>21</v>
      </c>
      <c r="K55" s="53">
        <v>22</v>
      </c>
      <c r="L55" s="53">
        <v>19</v>
      </c>
      <c r="M55" s="53">
        <v>24</v>
      </c>
      <c r="N55" s="53">
        <v>19</v>
      </c>
      <c r="O55" s="53">
        <v>16</v>
      </c>
      <c r="P55" s="53">
        <v>14</v>
      </c>
      <c r="Q55" s="53">
        <v>17</v>
      </c>
      <c r="R55" s="59">
        <v>11</v>
      </c>
      <c r="S55" s="54">
        <v>27</v>
      </c>
      <c r="T55" s="54">
        <v>25</v>
      </c>
      <c r="U55" s="54">
        <v>23</v>
      </c>
      <c r="V55" s="54">
        <v>21</v>
      </c>
      <c r="W55" s="54">
        <v>24</v>
      </c>
      <c r="X55" s="54">
        <v>21</v>
      </c>
      <c r="Y55" s="54">
        <v>21</v>
      </c>
      <c r="Z55" s="53">
        <v>15</v>
      </c>
      <c r="AA55" s="54">
        <v>23</v>
      </c>
      <c r="AB55" s="53">
        <v>22</v>
      </c>
      <c r="AC55" s="58">
        <f t="shared" si="0"/>
        <v>282</v>
      </c>
      <c r="AD55" s="55">
        <f t="shared" si="1"/>
        <v>250</v>
      </c>
      <c r="AE55" s="24">
        <f t="shared" si="2"/>
        <v>88.652482269503537</v>
      </c>
    </row>
    <row r="56" spans="1:31" ht="15" x14ac:dyDescent="0.25">
      <c r="A56" s="56">
        <v>52</v>
      </c>
      <c r="B56" s="57" t="s">
        <v>54</v>
      </c>
      <c r="C56" s="53">
        <v>17</v>
      </c>
      <c r="D56" s="53">
        <v>17</v>
      </c>
      <c r="E56" s="53">
        <v>23</v>
      </c>
      <c r="F56" s="53">
        <v>23</v>
      </c>
      <c r="G56" s="53">
        <v>23</v>
      </c>
      <c r="H56" s="53">
        <v>20</v>
      </c>
      <c r="I56" s="53">
        <v>22</v>
      </c>
      <c r="J56" s="53">
        <v>20</v>
      </c>
      <c r="K56" s="53">
        <v>22</v>
      </c>
      <c r="L56" s="53">
        <v>20</v>
      </c>
      <c r="M56" s="53">
        <v>24</v>
      </c>
      <c r="N56" s="53">
        <v>19</v>
      </c>
      <c r="O56" s="53">
        <v>16</v>
      </c>
      <c r="P56" s="53">
        <v>10</v>
      </c>
      <c r="Q56" s="53">
        <v>17</v>
      </c>
      <c r="R56" s="58">
        <v>13</v>
      </c>
      <c r="S56" s="54">
        <v>27</v>
      </c>
      <c r="T56" s="54">
        <v>26</v>
      </c>
      <c r="U56" s="54">
        <v>23</v>
      </c>
      <c r="V56" s="54">
        <v>22</v>
      </c>
      <c r="W56" s="54">
        <v>24</v>
      </c>
      <c r="X56" s="54">
        <v>21</v>
      </c>
      <c r="Y56" s="54">
        <v>21</v>
      </c>
      <c r="Z56" s="53">
        <v>15</v>
      </c>
      <c r="AA56" s="54">
        <v>23</v>
      </c>
      <c r="AB56" s="53">
        <v>21</v>
      </c>
      <c r="AC56" s="58">
        <f t="shared" si="0"/>
        <v>282</v>
      </c>
      <c r="AD56" s="55">
        <f t="shared" si="1"/>
        <v>247</v>
      </c>
      <c r="AE56" s="24">
        <f t="shared" si="2"/>
        <v>87.588652482269509</v>
      </c>
    </row>
    <row r="57" spans="1:31" ht="15" x14ac:dyDescent="0.25">
      <c r="A57" s="56">
        <v>53</v>
      </c>
      <c r="B57" s="57" t="s">
        <v>55</v>
      </c>
      <c r="C57" s="53">
        <v>17</v>
      </c>
      <c r="D57" s="53">
        <v>16</v>
      </c>
      <c r="E57" s="53">
        <v>23</v>
      </c>
      <c r="F57" s="53">
        <v>20</v>
      </c>
      <c r="G57" s="53">
        <v>23</v>
      </c>
      <c r="H57" s="53">
        <v>16</v>
      </c>
      <c r="I57" s="53">
        <v>22</v>
      </c>
      <c r="J57" s="53">
        <v>18</v>
      </c>
      <c r="K57" s="53">
        <v>22</v>
      </c>
      <c r="L57" s="53">
        <v>20</v>
      </c>
      <c r="M57" s="53">
        <v>24</v>
      </c>
      <c r="N57" s="53">
        <v>22</v>
      </c>
      <c r="O57" s="53">
        <v>16</v>
      </c>
      <c r="P57" s="53">
        <v>12</v>
      </c>
      <c r="Q57" s="53">
        <v>17</v>
      </c>
      <c r="R57" s="59">
        <v>13</v>
      </c>
      <c r="S57" s="54">
        <v>27</v>
      </c>
      <c r="T57" s="54">
        <v>23</v>
      </c>
      <c r="U57" s="54">
        <v>23</v>
      </c>
      <c r="V57" s="54">
        <v>19</v>
      </c>
      <c r="W57" s="54">
        <v>24</v>
      </c>
      <c r="X57" s="54">
        <v>19</v>
      </c>
      <c r="Y57" s="54">
        <v>21</v>
      </c>
      <c r="Z57" s="53">
        <v>15</v>
      </c>
      <c r="AA57" s="54">
        <v>23</v>
      </c>
      <c r="AB57" s="53">
        <v>21</v>
      </c>
      <c r="AC57" s="58">
        <f t="shared" si="0"/>
        <v>282</v>
      </c>
      <c r="AD57" s="55">
        <f t="shared" si="1"/>
        <v>234</v>
      </c>
      <c r="AE57" s="24">
        <f t="shared" si="2"/>
        <v>82.978723404255319</v>
      </c>
    </row>
    <row r="58" spans="1:31" ht="15" x14ac:dyDescent="0.25">
      <c r="A58" s="56">
        <v>54</v>
      </c>
      <c r="B58" s="57" t="s">
        <v>56</v>
      </c>
      <c r="C58" s="53">
        <v>17</v>
      </c>
      <c r="D58" s="53">
        <v>16</v>
      </c>
      <c r="E58" s="53">
        <v>23</v>
      </c>
      <c r="F58" s="53">
        <v>20</v>
      </c>
      <c r="G58" s="53">
        <v>23</v>
      </c>
      <c r="H58" s="53">
        <v>23</v>
      </c>
      <c r="I58" s="53">
        <v>22</v>
      </c>
      <c r="J58" s="53">
        <v>21</v>
      </c>
      <c r="K58" s="53">
        <v>22</v>
      </c>
      <c r="L58" s="53">
        <v>14</v>
      </c>
      <c r="M58" s="53">
        <v>24</v>
      </c>
      <c r="N58" s="53">
        <v>17</v>
      </c>
      <c r="O58" s="53">
        <v>16</v>
      </c>
      <c r="P58" s="53">
        <v>13</v>
      </c>
      <c r="Q58" s="53">
        <v>17</v>
      </c>
      <c r="R58" s="58">
        <v>15</v>
      </c>
      <c r="S58" s="54">
        <v>27</v>
      </c>
      <c r="T58" s="54">
        <v>21</v>
      </c>
      <c r="U58" s="54">
        <v>23</v>
      </c>
      <c r="V58" s="54">
        <v>20</v>
      </c>
      <c r="W58" s="54">
        <v>24</v>
      </c>
      <c r="X58" s="54">
        <v>23</v>
      </c>
      <c r="Y58" s="54">
        <v>21</v>
      </c>
      <c r="Z58" s="53">
        <v>18</v>
      </c>
      <c r="AA58" s="54">
        <v>23</v>
      </c>
      <c r="AB58" s="53">
        <v>23</v>
      </c>
      <c r="AC58" s="58">
        <f t="shared" si="0"/>
        <v>282</v>
      </c>
      <c r="AD58" s="55">
        <f t="shared" si="1"/>
        <v>244</v>
      </c>
      <c r="AE58" s="24">
        <f t="shared" si="2"/>
        <v>86.524822695035468</v>
      </c>
    </row>
    <row r="59" spans="1:31" ht="15" x14ac:dyDescent="0.25">
      <c r="A59" s="56">
        <v>55</v>
      </c>
      <c r="B59" s="57" t="s">
        <v>57</v>
      </c>
      <c r="C59" s="53">
        <v>17</v>
      </c>
      <c r="D59" s="53">
        <v>17</v>
      </c>
      <c r="E59" s="53">
        <v>23</v>
      </c>
      <c r="F59" s="53">
        <v>23</v>
      </c>
      <c r="G59" s="53">
        <v>23</v>
      </c>
      <c r="H59" s="53">
        <v>22</v>
      </c>
      <c r="I59" s="53">
        <v>22</v>
      </c>
      <c r="J59" s="53">
        <v>22</v>
      </c>
      <c r="K59" s="53">
        <v>22</v>
      </c>
      <c r="L59" s="53">
        <v>21</v>
      </c>
      <c r="M59" s="53">
        <v>24</v>
      </c>
      <c r="N59" s="53">
        <v>16</v>
      </c>
      <c r="O59" s="53">
        <v>16</v>
      </c>
      <c r="P59" s="53">
        <v>13</v>
      </c>
      <c r="Q59" s="53">
        <v>17</v>
      </c>
      <c r="R59" s="59">
        <v>17</v>
      </c>
      <c r="S59" s="54">
        <v>27</v>
      </c>
      <c r="T59" s="54">
        <v>25</v>
      </c>
      <c r="U59" s="54">
        <v>23</v>
      </c>
      <c r="V59" s="54">
        <v>18</v>
      </c>
      <c r="W59" s="54">
        <v>24</v>
      </c>
      <c r="X59" s="54">
        <v>23</v>
      </c>
      <c r="Y59" s="54">
        <v>21</v>
      </c>
      <c r="Z59" s="53">
        <v>16</v>
      </c>
      <c r="AA59" s="54">
        <v>23</v>
      </c>
      <c r="AB59" s="53">
        <v>21</v>
      </c>
      <c r="AC59" s="58">
        <f t="shared" si="0"/>
        <v>282</v>
      </c>
      <c r="AD59" s="55">
        <f t="shared" si="1"/>
        <v>254</v>
      </c>
      <c r="AE59" s="24">
        <f t="shared" si="2"/>
        <v>90.070921985815602</v>
      </c>
    </row>
    <row r="60" spans="1:31" ht="15" x14ac:dyDescent="0.25">
      <c r="A60" s="56">
        <v>56</v>
      </c>
      <c r="B60" s="57" t="s">
        <v>58</v>
      </c>
      <c r="C60" s="53">
        <v>17</v>
      </c>
      <c r="D60" s="53">
        <v>10</v>
      </c>
      <c r="E60" s="53">
        <v>23</v>
      </c>
      <c r="F60" s="53">
        <v>14</v>
      </c>
      <c r="G60" s="53">
        <v>23</v>
      </c>
      <c r="H60" s="53">
        <v>18</v>
      </c>
      <c r="I60" s="53">
        <v>22</v>
      </c>
      <c r="J60" s="53">
        <v>19</v>
      </c>
      <c r="K60" s="53">
        <v>22</v>
      </c>
      <c r="L60" s="53">
        <v>18</v>
      </c>
      <c r="M60" s="53">
        <v>24</v>
      </c>
      <c r="N60" s="53">
        <v>19</v>
      </c>
      <c r="O60" s="53">
        <v>16</v>
      </c>
      <c r="P60" s="53">
        <v>13</v>
      </c>
      <c r="Q60" s="53">
        <v>17</v>
      </c>
      <c r="R60" s="58">
        <v>13</v>
      </c>
      <c r="S60" s="54">
        <v>27</v>
      </c>
      <c r="T60" s="54">
        <v>2</v>
      </c>
      <c r="U60" s="54">
        <v>23</v>
      </c>
      <c r="V60" s="54">
        <v>0</v>
      </c>
      <c r="W60" s="54">
        <v>24</v>
      </c>
      <c r="X60" s="54">
        <v>1</v>
      </c>
      <c r="Y60" s="54">
        <v>21</v>
      </c>
      <c r="Z60" s="53">
        <v>8</v>
      </c>
      <c r="AA60" s="54">
        <v>23</v>
      </c>
      <c r="AB60" s="53">
        <v>1</v>
      </c>
      <c r="AC60" s="58">
        <f t="shared" si="0"/>
        <v>282</v>
      </c>
      <c r="AD60" s="55">
        <f t="shared" si="1"/>
        <v>136</v>
      </c>
      <c r="AE60" s="24">
        <f t="shared" si="2"/>
        <v>48.226950354609926</v>
      </c>
    </row>
    <row r="61" spans="1:31" ht="15" x14ac:dyDescent="0.25">
      <c r="A61" s="56">
        <v>57</v>
      </c>
      <c r="B61" s="57" t="s">
        <v>59</v>
      </c>
      <c r="C61" s="53">
        <v>17</v>
      </c>
      <c r="D61" s="53">
        <v>16</v>
      </c>
      <c r="E61" s="53">
        <v>23</v>
      </c>
      <c r="F61" s="53">
        <v>20</v>
      </c>
      <c r="G61" s="53">
        <v>23</v>
      </c>
      <c r="H61" s="53">
        <v>19</v>
      </c>
      <c r="I61" s="53">
        <v>22</v>
      </c>
      <c r="J61" s="53">
        <v>17</v>
      </c>
      <c r="K61" s="53">
        <v>22</v>
      </c>
      <c r="L61" s="53">
        <v>16</v>
      </c>
      <c r="M61" s="53">
        <v>24</v>
      </c>
      <c r="N61" s="53">
        <v>16</v>
      </c>
      <c r="O61" s="53">
        <v>16</v>
      </c>
      <c r="P61" s="53">
        <v>8</v>
      </c>
      <c r="Q61" s="53">
        <v>17</v>
      </c>
      <c r="R61" s="59">
        <v>8</v>
      </c>
      <c r="S61" s="54">
        <v>27</v>
      </c>
      <c r="T61" s="54">
        <v>17</v>
      </c>
      <c r="U61" s="54">
        <v>23</v>
      </c>
      <c r="V61" s="54">
        <v>20</v>
      </c>
      <c r="W61" s="54">
        <v>24</v>
      </c>
      <c r="X61" s="54">
        <v>18</v>
      </c>
      <c r="Y61" s="54">
        <v>21</v>
      </c>
      <c r="Z61" s="53">
        <v>15</v>
      </c>
      <c r="AA61" s="54">
        <v>23</v>
      </c>
      <c r="AB61" s="53">
        <v>20</v>
      </c>
      <c r="AC61" s="58">
        <f t="shared" si="0"/>
        <v>282</v>
      </c>
      <c r="AD61" s="55">
        <f t="shared" si="1"/>
        <v>210</v>
      </c>
      <c r="AE61" s="89">
        <f t="shared" si="2"/>
        <v>74.468085106382972</v>
      </c>
    </row>
    <row r="62" spans="1:31" ht="30" x14ac:dyDescent="0.25">
      <c r="A62" s="56">
        <v>58</v>
      </c>
      <c r="B62" s="57" t="s">
        <v>60</v>
      </c>
      <c r="C62" s="53">
        <v>17</v>
      </c>
      <c r="D62" s="53">
        <v>15</v>
      </c>
      <c r="E62" s="53">
        <v>23</v>
      </c>
      <c r="F62" s="53">
        <v>20</v>
      </c>
      <c r="G62" s="53">
        <v>23</v>
      </c>
      <c r="H62" s="53">
        <v>22</v>
      </c>
      <c r="I62" s="53">
        <v>22</v>
      </c>
      <c r="J62" s="53">
        <v>21</v>
      </c>
      <c r="K62" s="53">
        <v>22</v>
      </c>
      <c r="L62" s="53">
        <v>19</v>
      </c>
      <c r="M62" s="53">
        <v>24</v>
      </c>
      <c r="N62" s="53">
        <v>22</v>
      </c>
      <c r="O62" s="53">
        <v>16</v>
      </c>
      <c r="P62" s="53">
        <v>12</v>
      </c>
      <c r="Q62" s="53">
        <v>17</v>
      </c>
      <c r="R62" s="58">
        <v>14</v>
      </c>
      <c r="S62" s="54">
        <v>27</v>
      </c>
      <c r="T62" s="54">
        <v>26</v>
      </c>
      <c r="U62" s="54">
        <v>23</v>
      </c>
      <c r="V62" s="54">
        <v>20</v>
      </c>
      <c r="W62" s="54">
        <v>24</v>
      </c>
      <c r="X62" s="54">
        <v>23</v>
      </c>
      <c r="Y62" s="54">
        <v>21</v>
      </c>
      <c r="Z62" s="53">
        <v>14</v>
      </c>
      <c r="AA62" s="54">
        <v>23</v>
      </c>
      <c r="AB62" s="53">
        <v>14</v>
      </c>
      <c r="AC62" s="58">
        <f t="shared" si="0"/>
        <v>282</v>
      </c>
      <c r="AD62" s="55">
        <f t="shared" si="1"/>
        <v>242</v>
      </c>
      <c r="AE62" s="24">
        <f t="shared" si="2"/>
        <v>85.815602836879435</v>
      </c>
    </row>
    <row r="63" spans="1:31" ht="30" x14ac:dyDescent="0.25">
      <c r="A63" s="56">
        <v>59</v>
      </c>
      <c r="B63" s="60" t="s">
        <v>61</v>
      </c>
      <c r="C63" s="53">
        <v>17</v>
      </c>
      <c r="D63" s="53">
        <v>17</v>
      </c>
      <c r="E63" s="53">
        <v>23</v>
      </c>
      <c r="F63" s="53">
        <v>22</v>
      </c>
      <c r="G63" s="53">
        <v>23</v>
      </c>
      <c r="H63" s="53">
        <v>23</v>
      </c>
      <c r="I63" s="53">
        <v>22</v>
      </c>
      <c r="J63" s="53">
        <v>22</v>
      </c>
      <c r="K63" s="53">
        <v>22</v>
      </c>
      <c r="L63" s="53">
        <v>20</v>
      </c>
      <c r="M63" s="53">
        <v>24</v>
      </c>
      <c r="N63" s="53">
        <v>21</v>
      </c>
      <c r="O63" s="53">
        <v>16</v>
      </c>
      <c r="P63" s="53">
        <v>11</v>
      </c>
      <c r="Q63" s="53">
        <v>17</v>
      </c>
      <c r="R63" s="59">
        <v>17</v>
      </c>
      <c r="S63" s="54">
        <v>27</v>
      </c>
      <c r="T63" s="54">
        <v>26</v>
      </c>
      <c r="U63" s="54">
        <v>23</v>
      </c>
      <c r="V63" s="54">
        <v>18</v>
      </c>
      <c r="W63" s="54">
        <v>24</v>
      </c>
      <c r="X63" s="54">
        <v>20</v>
      </c>
      <c r="Y63" s="54">
        <v>21</v>
      </c>
      <c r="Z63" s="53">
        <v>18</v>
      </c>
      <c r="AA63" s="54">
        <v>23</v>
      </c>
      <c r="AB63" s="53">
        <v>23</v>
      </c>
      <c r="AC63" s="58">
        <f t="shared" si="0"/>
        <v>282</v>
      </c>
      <c r="AD63" s="55">
        <f t="shared" si="1"/>
        <v>258</v>
      </c>
      <c r="AE63" s="24">
        <f t="shared" si="2"/>
        <v>91.489361702127653</v>
      </c>
    </row>
    <row r="64" spans="1:31" ht="15" x14ac:dyDescent="0.25">
      <c r="A64" s="56">
        <v>60</v>
      </c>
      <c r="B64" s="61" t="s">
        <v>62</v>
      </c>
      <c r="C64" s="53">
        <v>17</v>
      </c>
      <c r="D64" s="53">
        <v>17</v>
      </c>
      <c r="E64" s="53">
        <v>23</v>
      </c>
      <c r="F64" s="53">
        <v>22</v>
      </c>
      <c r="G64" s="53">
        <v>23</v>
      </c>
      <c r="H64" s="53">
        <v>23</v>
      </c>
      <c r="I64" s="53">
        <v>22</v>
      </c>
      <c r="J64" s="53">
        <v>20</v>
      </c>
      <c r="K64" s="53">
        <v>22</v>
      </c>
      <c r="L64" s="53">
        <v>19</v>
      </c>
      <c r="M64" s="53">
        <v>24</v>
      </c>
      <c r="N64" s="53">
        <v>20</v>
      </c>
      <c r="O64" s="53">
        <v>16</v>
      </c>
      <c r="P64" s="53">
        <v>14</v>
      </c>
      <c r="Q64" s="53">
        <v>17</v>
      </c>
      <c r="R64" s="58">
        <v>16</v>
      </c>
      <c r="S64" s="54">
        <v>27</v>
      </c>
      <c r="T64" s="54">
        <v>25</v>
      </c>
      <c r="U64" s="54">
        <v>23</v>
      </c>
      <c r="V64" s="54">
        <v>19</v>
      </c>
      <c r="W64" s="54">
        <v>24</v>
      </c>
      <c r="X64" s="54">
        <v>20</v>
      </c>
      <c r="Y64" s="54">
        <v>21</v>
      </c>
      <c r="Z64" s="53">
        <v>16</v>
      </c>
      <c r="AA64" s="54">
        <v>23</v>
      </c>
      <c r="AB64" s="53">
        <v>16</v>
      </c>
      <c r="AC64" s="58">
        <f t="shared" si="0"/>
        <v>282</v>
      </c>
      <c r="AD64" s="55">
        <f t="shared" si="1"/>
        <v>247</v>
      </c>
      <c r="AE64" s="24">
        <f t="shared" si="2"/>
        <v>87.588652482269509</v>
      </c>
    </row>
    <row r="65" spans="1:31" ht="15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6"/>
      <c r="AD65" s="62"/>
      <c r="AE65" s="63"/>
    </row>
    <row r="66" spans="1:31" ht="15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6"/>
      <c r="AD66" s="62"/>
      <c r="AE66" s="63"/>
    </row>
    <row r="67" spans="1:31" ht="15" x14ac:dyDescent="0.25">
      <c r="AE67" s="25"/>
    </row>
    <row r="68" spans="1:31" ht="15" x14ac:dyDescent="0.25">
      <c r="AE68" s="25"/>
    </row>
    <row r="69" spans="1:31" x14ac:dyDescent="0.3">
      <c r="AE69" s="25"/>
    </row>
    <row r="70" spans="1:31" x14ac:dyDescent="0.3">
      <c r="AE70" s="25"/>
    </row>
    <row r="71" spans="1:31" x14ac:dyDescent="0.3">
      <c r="AE71" s="25"/>
    </row>
    <row r="72" spans="1:31" x14ac:dyDescent="0.3">
      <c r="AE72" s="25"/>
    </row>
    <row r="73" spans="1:31" x14ac:dyDescent="0.3">
      <c r="AE73" s="25"/>
    </row>
    <row r="74" spans="1:31" x14ac:dyDescent="0.3">
      <c r="AE74" s="25"/>
    </row>
    <row r="75" spans="1:31" x14ac:dyDescent="0.3">
      <c r="AE75" s="25"/>
    </row>
    <row r="76" spans="1:31" x14ac:dyDescent="0.3">
      <c r="AE76" s="25"/>
    </row>
    <row r="77" spans="1:31" x14ac:dyDescent="0.3">
      <c r="AE77" s="25"/>
    </row>
    <row r="78" spans="1:31" x14ac:dyDescent="0.3">
      <c r="AE78" s="25"/>
    </row>
    <row r="79" spans="1:31" x14ac:dyDescent="0.3">
      <c r="AE79" s="25"/>
    </row>
    <row r="80" spans="1:31" x14ac:dyDescent="0.3">
      <c r="AE80" s="25"/>
    </row>
    <row r="81" spans="31:31" x14ac:dyDescent="0.3">
      <c r="AE81" s="25"/>
    </row>
    <row r="82" spans="31:31" x14ac:dyDescent="0.3">
      <c r="AE82" s="25"/>
    </row>
    <row r="83" spans="31:31" x14ac:dyDescent="0.3">
      <c r="AE83" s="25"/>
    </row>
    <row r="84" spans="31:31" x14ac:dyDescent="0.3">
      <c r="AE84" s="25"/>
    </row>
    <row r="85" spans="31:31" x14ac:dyDescent="0.3">
      <c r="AE85" s="25"/>
    </row>
    <row r="86" spans="31:31" x14ac:dyDescent="0.3">
      <c r="AE86" s="25"/>
    </row>
    <row r="87" spans="31:31" x14ac:dyDescent="0.3">
      <c r="AE87" s="25"/>
    </row>
    <row r="88" spans="31:31" x14ac:dyDescent="0.3">
      <c r="AE88" s="25"/>
    </row>
    <row r="89" spans="31:31" x14ac:dyDescent="0.3">
      <c r="AE89" s="25"/>
    </row>
    <row r="90" spans="31:31" x14ac:dyDescent="0.3">
      <c r="AE90" s="25"/>
    </row>
    <row r="91" spans="31:31" x14ac:dyDescent="0.3">
      <c r="AE91" s="25"/>
    </row>
    <row r="92" spans="31:31" x14ac:dyDescent="0.3">
      <c r="AE92" s="25"/>
    </row>
    <row r="93" spans="31:31" x14ac:dyDescent="0.3">
      <c r="AE93" s="25"/>
    </row>
    <row r="94" spans="31:31" x14ac:dyDescent="0.3">
      <c r="AE94" s="25"/>
    </row>
    <row r="95" spans="31:31" x14ac:dyDescent="0.3">
      <c r="AE95" s="25"/>
    </row>
    <row r="96" spans="31:31" x14ac:dyDescent="0.3">
      <c r="AE96" s="25"/>
    </row>
    <row r="97" spans="31:31" x14ac:dyDescent="0.3">
      <c r="AE97" s="25"/>
    </row>
    <row r="98" spans="31:31" x14ac:dyDescent="0.3">
      <c r="AE98" s="25"/>
    </row>
    <row r="99" spans="31:31" x14ac:dyDescent="0.3">
      <c r="AE99" s="25"/>
    </row>
    <row r="100" spans="31:31" x14ac:dyDescent="0.3">
      <c r="AE100" s="25"/>
    </row>
    <row r="101" spans="31:31" x14ac:dyDescent="0.3">
      <c r="AE101" s="25"/>
    </row>
    <row r="102" spans="31:31" x14ac:dyDescent="0.3">
      <c r="AE102" s="25"/>
    </row>
    <row r="103" spans="31:31" x14ac:dyDescent="0.3">
      <c r="AE103" s="25"/>
    </row>
    <row r="104" spans="31:31" x14ac:dyDescent="0.3">
      <c r="AE104" s="25"/>
    </row>
    <row r="105" spans="31:31" x14ac:dyDescent="0.3">
      <c r="AE105" s="25"/>
    </row>
    <row r="106" spans="31:31" x14ac:dyDescent="0.3">
      <c r="AE106" s="25"/>
    </row>
    <row r="107" spans="31:31" x14ac:dyDescent="0.3">
      <c r="AE107" s="25"/>
    </row>
    <row r="108" spans="31:31" x14ac:dyDescent="0.3">
      <c r="AE108" s="25"/>
    </row>
    <row r="109" spans="31:31" x14ac:dyDescent="0.3">
      <c r="AE109" s="25"/>
    </row>
    <row r="110" spans="31:31" x14ac:dyDescent="0.3">
      <c r="AE110" s="25"/>
    </row>
    <row r="111" spans="31:31" x14ac:dyDescent="0.3">
      <c r="AE111" s="25"/>
    </row>
    <row r="112" spans="31:31" x14ac:dyDescent="0.3">
      <c r="AE112" s="25"/>
    </row>
    <row r="113" spans="31:31" x14ac:dyDescent="0.3">
      <c r="AE113" s="25"/>
    </row>
    <row r="114" spans="31:31" x14ac:dyDescent="0.3">
      <c r="AE114" s="25"/>
    </row>
    <row r="115" spans="31:31" x14ac:dyDescent="0.3">
      <c r="AE115" s="25"/>
    </row>
    <row r="116" spans="31:31" x14ac:dyDescent="0.3">
      <c r="AE116" s="25"/>
    </row>
    <row r="117" spans="31:31" x14ac:dyDescent="0.3">
      <c r="AE117" s="25"/>
    </row>
    <row r="118" spans="31:31" x14ac:dyDescent="0.3">
      <c r="AE118" s="25"/>
    </row>
    <row r="119" spans="31:31" x14ac:dyDescent="0.3">
      <c r="AE119" s="25"/>
    </row>
    <row r="120" spans="31:31" x14ac:dyDescent="0.3">
      <c r="AE120" s="25"/>
    </row>
    <row r="121" spans="31:31" x14ac:dyDescent="0.3">
      <c r="AE121" s="25"/>
    </row>
    <row r="122" spans="31:31" x14ac:dyDescent="0.3">
      <c r="AE122" s="25"/>
    </row>
    <row r="123" spans="31:31" x14ac:dyDescent="0.3">
      <c r="AE123" s="25"/>
    </row>
    <row r="124" spans="31:31" x14ac:dyDescent="0.3">
      <c r="AE124" s="25"/>
    </row>
    <row r="125" spans="31:31" x14ac:dyDescent="0.3">
      <c r="AE125" s="25"/>
    </row>
    <row r="126" spans="31:31" x14ac:dyDescent="0.3">
      <c r="AE126" s="25"/>
    </row>
    <row r="127" spans="31:31" x14ac:dyDescent="0.3">
      <c r="AE127" s="25"/>
    </row>
    <row r="128" spans="31:31" x14ac:dyDescent="0.3">
      <c r="AE128" s="25"/>
    </row>
    <row r="129" spans="31:31" x14ac:dyDescent="0.3">
      <c r="AE129" s="25"/>
    </row>
    <row r="130" spans="31:31" x14ac:dyDescent="0.3">
      <c r="AE130" s="25"/>
    </row>
    <row r="131" spans="31:31" x14ac:dyDescent="0.3">
      <c r="AE131" s="25"/>
    </row>
    <row r="132" spans="31:31" x14ac:dyDescent="0.3">
      <c r="AE132" s="25"/>
    </row>
    <row r="133" spans="31:31" x14ac:dyDescent="0.3">
      <c r="AE133" s="25"/>
    </row>
    <row r="134" spans="31:31" x14ac:dyDescent="0.3">
      <c r="AE134" s="25"/>
    </row>
    <row r="135" spans="31:31" x14ac:dyDescent="0.3">
      <c r="AE135" s="25"/>
    </row>
    <row r="136" spans="31:31" x14ac:dyDescent="0.3">
      <c r="AE136" s="25"/>
    </row>
    <row r="137" spans="31:31" x14ac:dyDescent="0.3">
      <c r="AE137" s="25"/>
    </row>
    <row r="138" spans="31:31" x14ac:dyDescent="0.3">
      <c r="AE138" s="25"/>
    </row>
    <row r="139" spans="31:31" x14ac:dyDescent="0.3">
      <c r="AE139" s="25"/>
    </row>
    <row r="140" spans="31:31" x14ac:dyDescent="0.3">
      <c r="AE140" s="25"/>
    </row>
    <row r="141" spans="31:31" x14ac:dyDescent="0.3">
      <c r="AE141" s="25"/>
    </row>
    <row r="142" spans="31:31" x14ac:dyDescent="0.3">
      <c r="AE142" s="25"/>
    </row>
    <row r="143" spans="31:31" x14ac:dyDescent="0.3">
      <c r="AE143" s="25"/>
    </row>
    <row r="144" spans="31:31" x14ac:dyDescent="0.3">
      <c r="AE144" s="25"/>
    </row>
    <row r="145" spans="31:31" x14ac:dyDescent="0.3">
      <c r="AE145" s="25"/>
    </row>
    <row r="146" spans="31:31" x14ac:dyDescent="0.3">
      <c r="AE146" s="25"/>
    </row>
    <row r="147" spans="31:31" x14ac:dyDescent="0.3">
      <c r="AE147" s="25"/>
    </row>
    <row r="148" spans="31:31" x14ac:dyDescent="0.3">
      <c r="AE148" s="25"/>
    </row>
    <row r="149" spans="31:31" x14ac:dyDescent="0.3">
      <c r="AE149" s="25"/>
    </row>
    <row r="150" spans="31:31" x14ac:dyDescent="0.3">
      <c r="AE150" s="25"/>
    </row>
    <row r="151" spans="31:31" x14ac:dyDescent="0.3">
      <c r="AE151" s="25"/>
    </row>
    <row r="152" spans="31:31" x14ac:dyDescent="0.3">
      <c r="AE152" s="25"/>
    </row>
    <row r="153" spans="31:31" x14ac:dyDescent="0.3">
      <c r="AE153" s="25"/>
    </row>
    <row r="154" spans="31:31" x14ac:dyDescent="0.3">
      <c r="AE154" s="25"/>
    </row>
    <row r="155" spans="31:31" x14ac:dyDescent="0.3">
      <c r="AE155" s="25"/>
    </row>
    <row r="156" spans="31:31" x14ac:dyDescent="0.3">
      <c r="AE156" s="25"/>
    </row>
    <row r="157" spans="31:31" x14ac:dyDescent="0.3">
      <c r="AE157" s="25"/>
    </row>
    <row r="158" spans="31:31" x14ac:dyDescent="0.3">
      <c r="AE158" s="25"/>
    </row>
    <row r="159" spans="31:31" x14ac:dyDescent="0.3">
      <c r="AE159" s="25"/>
    </row>
    <row r="160" spans="31:31" x14ac:dyDescent="0.3">
      <c r="AE160" s="25"/>
    </row>
    <row r="161" spans="31:31" x14ac:dyDescent="0.3">
      <c r="AE161" s="25"/>
    </row>
    <row r="162" spans="31:31" x14ac:dyDescent="0.3">
      <c r="AE162" s="25"/>
    </row>
    <row r="163" spans="31:31" x14ac:dyDescent="0.3">
      <c r="AE163" s="25"/>
    </row>
    <row r="164" spans="31:31" x14ac:dyDescent="0.3">
      <c r="AE164" s="25"/>
    </row>
    <row r="165" spans="31:31" x14ac:dyDescent="0.3">
      <c r="AE165" s="25"/>
    </row>
    <row r="166" spans="31:31" x14ac:dyDescent="0.3">
      <c r="AE166" s="25"/>
    </row>
    <row r="167" spans="31:31" x14ac:dyDescent="0.3">
      <c r="AE167" s="25"/>
    </row>
    <row r="168" spans="31:31" x14ac:dyDescent="0.3">
      <c r="AE168" s="25"/>
    </row>
    <row r="169" spans="31:31" x14ac:dyDescent="0.3">
      <c r="AE169" s="25"/>
    </row>
    <row r="170" spans="31:31" x14ac:dyDescent="0.3">
      <c r="AE170" s="25"/>
    </row>
    <row r="171" spans="31:31" x14ac:dyDescent="0.3">
      <c r="AE171" s="25"/>
    </row>
    <row r="172" spans="31:31" x14ac:dyDescent="0.3">
      <c r="AE172" s="25"/>
    </row>
    <row r="173" spans="31:31" x14ac:dyDescent="0.3">
      <c r="AE173" s="25"/>
    </row>
    <row r="174" spans="31:31" x14ac:dyDescent="0.3">
      <c r="AE174" s="25"/>
    </row>
    <row r="175" spans="31:31" x14ac:dyDescent="0.3">
      <c r="AE175" s="25"/>
    </row>
    <row r="176" spans="31:31" x14ac:dyDescent="0.3">
      <c r="AE176" s="25"/>
    </row>
    <row r="177" spans="31:31" x14ac:dyDescent="0.3">
      <c r="AE177" s="25"/>
    </row>
    <row r="178" spans="31:31" x14ac:dyDescent="0.3">
      <c r="AE178" s="25"/>
    </row>
    <row r="179" spans="31:31" x14ac:dyDescent="0.3">
      <c r="AE179" s="25"/>
    </row>
    <row r="180" spans="31:31" x14ac:dyDescent="0.3">
      <c r="AE180" s="25"/>
    </row>
    <row r="181" spans="31:31" x14ac:dyDescent="0.3">
      <c r="AE181" s="25"/>
    </row>
    <row r="182" spans="31:31" x14ac:dyDescent="0.3">
      <c r="AE182" s="25"/>
    </row>
    <row r="183" spans="31:31" x14ac:dyDescent="0.3">
      <c r="AE183" s="25"/>
    </row>
    <row r="184" spans="31:31" x14ac:dyDescent="0.3">
      <c r="AE184" s="25"/>
    </row>
    <row r="185" spans="31:31" x14ac:dyDescent="0.3">
      <c r="AE185" s="25"/>
    </row>
    <row r="186" spans="31:31" x14ac:dyDescent="0.3">
      <c r="AE186" s="25"/>
    </row>
    <row r="187" spans="31:31" x14ac:dyDescent="0.3">
      <c r="AE187" s="25"/>
    </row>
    <row r="188" spans="31:31" x14ac:dyDescent="0.3">
      <c r="AE188" s="25"/>
    </row>
    <row r="189" spans="31:31" x14ac:dyDescent="0.3">
      <c r="AE189" s="25"/>
    </row>
    <row r="190" spans="31:31" x14ac:dyDescent="0.3">
      <c r="AE190" s="25"/>
    </row>
    <row r="191" spans="31:31" x14ac:dyDescent="0.3">
      <c r="AE191" s="25"/>
    </row>
    <row r="192" spans="31:31" x14ac:dyDescent="0.3">
      <c r="AE192" s="25"/>
    </row>
    <row r="193" spans="31:31" x14ac:dyDescent="0.3">
      <c r="AE193" s="25"/>
    </row>
    <row r="194" spans="31:31" x14ac:dyDescent="0.3">
      <c r="AE194" s="25"/>
    </row>
    <row r="195" spans="31:31" x14ac:dyDescent="0.3">
      <c r="AE195" s="25"/>
    </row>
    <row r="196" spans="31:31" x14ac:dyDescent="0.3">
      <c r="AE196" s="25"/>
    </row>
    <row r="197" spans="31:31" x14ac:dyDescent="0.3">
      <c r="AE197" s="25"/>
    </row>
    <row r="198" spans="31:31" x14ac:dyDescent="0.3">
      <c r="AE198" s="25"/>
    </row>
    <row r="199" spans="31:31" x14ac:dyDescent="0.3">
      <c r="AE199" s="25"/>
    </row>
    <row r="200" spans="31:31" x14ac:dyDescent="0.3">
      <c r="AE200" s="25"/>
    </row>
    <row r="201" spans="31:31" x14ac:dyDescent="0.3">
      <c r="AE201" s="25"/>
    </row>
    <row r="202" spans="31:31" x14ac:dyDescent="0.3">
      <c r="AE202" s="25"/>
    </row>
    <row r="203" spans="31:31" x14ac:dyDescent="0.3">
      <c r="AE203" s="25"/>
    </row>
    <row r="204" spans="31:31" x14ac:dyDescent="0.3">
      <c r="AE204" s="25"/>
    </row>
    <row r="205" spans="31:31" x14ac:dyDescent="0.3">
      <c r="AE205" s="25"/>
    </row>
    <row r="206" spans="31:31" x14ac:dyDescent="0.3">
      <c r="AE206" s="25"/>
    </row>
    <row r="207" spans="31:31" x14ac:dyDescent="0.3">
      <c r="AE207" s="25"/>
    </row>
    <row r="208" spans="31:31" x14ac:dyDescent="0.3">
      <c r="AE208" s="25"/>
    </row>
    <row r="209" spans="31:31" x14ac:dyDescent="0.3">
      <c r="AE209" s="25"/>
    </row>
    <row r="210" spans="31:31" x14ac:dyDescent="0.3">
      <c r="AE210" s="25"/>
    </row>
    <row r="211" spans="31:31" x14ac:dyDescent="0.3">
      <c r="AE211" s="25"/>
    </row>
    <row r="212" spans="31:31" x14ac:dyDescent="0.3">
      <c r="AE212" s="25"/>
    </row>
    <row r="213" spans="31:31" x14ac:dyDescent="0.3">
      <c r="AE213" s="25"/>
    </row>
    <row r="214" spans="31:31" x14ac:dyDescent="0.3">
      <c r="AE214" s="25"/>
    </row>
    <row r="215" spans="31:31" x14ac:dyDescent="0.3">
      <c r="AE215" s="25"/>
    </row>
    <row r="216" spans="31:31" x14ac:dyDescent="0.3">
      <c r="AE216" s="25"/>
    </row>
    <row r="217" spans="31:31" x14ac:dyDescent="0.3">
      <c r="AE217" s="25"/>
    </row>
    <row r="218" spans="31:31" x14ac:dyDescent="0.3">
      <c r="AE218" s="25"/>
    </row>
    <row r="219" spans="31:31" x14ac:dyDescent="0.3">
      <c r="AE219" s="25"/>
    </row>
    <row r="220" spans="31:31" x14ac:dyDescent="0.3">
      <c r="AE220" s="25"/>
    </row>
    <row r="221" spans="31:31" x14ac:dyDescent="0.3">
      <c r="AE221" s="25"/>
    </row>
    <row r="222" spans="31:31" x14ac:dyDescent="0.3">
      <c r="AE222" s="25"/>
    </row>
    <row r="223" spans="31:31" x14ac:dyDescent="0.3">
      <c r="AE223" s="25"/>
    </row>
    <row r="224" spans="31:31" x14ac:dyDescent="0.3">
      <c r="AE224" s="25"/>
    </row>
    <row r="225" spans="31:31" x14ac:dyDescent="0.3">
      <c r="AE225" s="25"/>
    </row>
    <row r="226" spans="31:31" x14ac:dyDescent="0.3">
      <c r="AE226" s="25"/>
    </row>
    <row r="227" spans="31:31" x14ac:dyDescent="0.3">
      <c r="AE227" s="25"/>
    </row>
    <row r="228" spans="31:31" x14ac:dyDescent="0.3">
      <c r="AE228" s="25"/>
    </row>
    <row r="229" spans="31:31" x14ac:dyDescent="0.3">
      <c r="AE229" s="25"/>
    </row>
    <row r="230" spans="31:31" x14ac:dyDescent="0.3">
      <c r="AE230" s="25"/>
    </row>
    <row r="231" spans="31:31" x14ac:dyDescent="0.3">
      <c r="AE231" s="25"/>
    </row>
    <row r="232" spans="31:31" x14ac:dyDescent="0.3">
      <c r="AE232" s="25"/>
    </row>
    <row r="233" spans="31:31" x14ac:dyDescent="0.3">
      <c r="AE233" s="25"/>
    </row>
    <row r="234" spans="31:31" x14ac:dyDescent="0.3">
      <c r="AE234" s="25"/>
    </row>
    <row r="235" spans="31:31" x14ac:dyDescent="0.3">
      <c r="AE235" s="25"/>
    </row>
    <row r="236" spans="31:31" x14ac:dyDescent="0.3">
      <c r="AE236" s="25"/>
    </row>
    <row r="237" spans="31:31" x14ac:dyDescent="0.3">
      <c r="AE237" s="25"/>
    </row>
    <row r="238" spans="31:31" x14ac:dyDescent="0.3">
      <c r="AE238" s="25"/>
    </row>
    <row r="239" spans="31:31" x14ac:dyDescent="0.3">
      <c r="AE239" s="25"/>
    </row>
    <row r="240" spans="31:31" x14ac:dyDescent="0.3">
      <c r="AE240" s="25"/>
    </row>
    <row r="241" spans="31:31" x14ac:dyDescent="0.3">
      <c r="AE241" s="25"/>
    </row>
    <row r="242" spans="31:31" x14ac:dyDescent="0.3">
      <c r="AE242" s="25"/>
    </row>
    <row r="243" spans="31:31" x14ac:dyDescent="0.3">
      <c r="AE243" s="25"/>
    </row>
    <row r="244" spans="31:31" x14ac:dyDescent="0.3">
      <c r="AE244" s="25"/>
    </row>
    <row r="245" spans="31:31" x14ac:dyDescent="0.3">
      <c r="AE245" s="25"/>
    </row>
    <row r="246" spans="31:31" x14ac:dyDescent="0.3">
      <c r="AE246" s="25"/>
    </row>
    <row r="247" spans="31:31" x14ac:dyDescent="0.3">
      <c r="AE247" s="25"/>
    </row>
    <row r="248" spans="31:31" x14ac:dyDescent="0.3">
      <c r="AE248" s="25"/>
    </row>
    <row r="249" spans="31:31" x14ac:dyDescent="0.3">
      <c r="AE249" s="25"/>
    </row>
    <row r="250" spans="31:31" x14ac:dyDescent="0.3">
      <c r="AE250" s="25"/>
    </row>
    <row r="251" spans="31:31" x14ac:dyDescent="0.3">
      <c r="AE251" s="25"/>
    </row>
    <row r="252" spans="31:31" x14ac:dyDescent="0.3">
      <c r="AE252" s="25"/>
    </row>
    <row r="253" spans="31:31" x14ac:dyDescent="0.3">
      <c r="AE253" s="25"/>
    </row>
    <row r="254" spans="31:31" x14ac:dyDescent="0.3">
      <c r="AE254" s="25"/>
    </row>
    <row r="255" spans="31:31" x14ac:dyDescent="0.3">
      <c r="AE255" s="25"/>
    </row>
    <row r="256" spans="31:31" x14ac:dyDescent="0.3">
      <c r="AE256" s="25"/>
    </row>
    <row r="257" spans="31:31" x14ac:dyDescent="0.3">
      <c r="AE257" s="25"/>
    </row>
    <row r="258" spans="31:31" x14ac:dyDescent="0.3">
      <c r="AE258" s="25"/>
    </row>
    <row r="259" spans="31:31" x14ac:dyDescent="0.3">
      <c r="AE259" s="25"/>
    </row>
    <row r="260" spans="31:31" x14ac:dyDescent="0.3">
      <c r="AE260" s="25"/>
    </row>
    <row r="261" spans="31:31" x14ac:dyDescent="0.3">
      <c r="AE261" s="25"/>
    </row>
    <row r="262" spans="31:31" x14ac:dyDescent="0.3">
      <c r="AE262" s="25"/>
    </row>
    <row r="263" spans="31:31" x14ac:dyDescent="0.3">
      <c r="AE263" s="25"/>
    </row>
    <row r="264" spans="31:31" x14ac:dyDescent="0.3">
      <c r="AE264" s="25"/>
    </row>
    <row r="265" spans="31:31" x14ac:dyDescent="0.3">
      <c r="AE265" s="25"/>
    </row>
    <row r="266" spans="31:31" x14ac:dyDescent="0.3">
      <c r="AE266" s="25"/>
    </row>
    <row r="267" spans="31:31" x14ac:dyDescent="0.3">
      <c r="AE267" s="25"/>
    </row>
    <row r="268" spans="31:31" x14ac:dyDescent="0.3">
      <c r="AE268" s="25"/>
    </row>
    <row r="269" spans="31:31" x14ac:dyDescent="0.3">
      <c r="AE269" s="25"/>
    </row>
    <row r="270" spans="31:31" x14ac:dyDescent="0.3">
      <c r="AE270" s="25"/>
    </row>
    <row r="271" spans="31:31" x14ac:dyDescent="0.3">
      <c r="AE271" s="25"/>
    </row>
    <row r="272" spans="31:31" x14ac:dyDescent="0.3">
      <c r="AE272" s="25"/>
    </row>
    <row r="273" spans="31:31" x14ac:dyDescent="0.3">
      <c r="AE273" s="25"/>
    </row>
    <row r="274" spans="31:31" x14ac:dyDescent="0.3">
      <c r="AE274" s="25"/>
    </row>
    <row r="275" spans="31:31" x14ac:dyDescent="0.3">
      <c r="AE275" s="25"/>
    </row>
    <row r="276" spans="31:31" x14ac:dyDescent="0.3">
      <c r="AE276" s="25"/>
    </row>
    <row r="277" spans="31:31" x14ac:dyDescent="0.3">
      <c r="AE277" s="25"/>
    </row>
    <row r="278" spans="31:31" x14ac:dyDescent="0.3">
      <c r="AE278" s="25"/>
    </row>
    <row r="279" spans="31:31" x14ac:dyDescent="0.3">
      <c r="AE279" s="25"/>
    </row>
    <row r="280" spans="31:31" x14ac:dyDescent="0.3">
      <c r="AE280" s="25"/>
    </row>
    <row r="281" spans="31:31" x14ac:dyDescent="0.3">
      <c r="AE281" s="25"/>
    </row>
    <row r="282" spans="31:31" x14ac:dyDescent="0.3">
      <c r="AE282" s="25"/>
    </row>
    <row r="283" spans="31:31" x14ac:dyDescent="0.3">
      <c r="AE283" s="25"/>
    </row>
    <row r="284" spans="31:31" x14ac:dyDescent="0.3">
      <c r="AE284" s="25"/>
    </row>
    <row r="285" spans="31:31" x14ac:dyDescent="0.3">
      <c r="AE285" s="25"/>
    </row>
    <row r="286" spans="31:31" x14ac:dyDescent="0.3">
      <c r="AE286" s="25"/>
    </row>
    <row r="287" spans="31:31" x14ac:dyDescent="0.3">
      <c r="AE287" s="25"/>
    </row>
    <row r="288" spans="31:31" x14ac:dyDescent="0.3">
      <c r="AE288" s="25"/>
    </row>
    <row r="289" spans="31:31" x14ac:dyDescent="0.3">
      <c r="AE289" s="25"/>
    </row>
    <row r="290" spans="31:31" x14ac:dyDescent="0.3">
      <c r="AE290" s="25"/>
    </row>
    <row r="291" spans="31:31" x14ac:dyDescent="0.3">
      <c r="AE291" s="25"/>
    </row>
    <row r="292" spans="31:31" x14ac:dyDescent="0.3">
      <c r="AE292" s="25"/>
    </row>
    <row r="293" spans="31:31" x14ac:dyDescent="0.3">
      <c r="AE293" s="25"/>
    </row>
    <row r="294" spans="31:31" x14ac:dyDescent="0.3">
      <c r="AE294" s="25"/>
    </row>
    <row r="295" spans="31:31" x14ac:dyDescent="0.3">
      <c r="AE295" s="25"/>
    </row>
    <row r="296" spans="31:31" x14ac:dyDescent="0.3">
      <c r="AE296" s="25"/>
    </row>
    <row r="297" spans="31:31" x14ac:dyDescent="0.3">
      <c r="AE297" s="25"/>
    </row>
    <row r="298" spans="31:31" x14ac:dyDescent="0.3">
      <c r="AE298" s="25"/>
    </row>
    <row r="299" spans="31:31" x14ac:dyDescent="0.3">
      <c r="AE299" s="25"/>
    </row>
    <row r="300" spans="31:31" x14ac:dyDescent="0.3">
      <c r="AE300" s="25"/>
    </row>
    <row r="301" spans="31:31" x14ac:dyDescent="0.3">
      <c r="AE301" s="25"/>
    </row>
    <row r="302" spans="31:31" x14ac:dyDescent="0.3">
      <c r="AE302" s="25"/>
    </row>
    <row r="303" spans="31:31" x14ac:dyDescent="0.3">
      <c r="AE303" s="25"/>
    </row>
    <row r="304" spans="31:31" x14ac:dyDescent="0.3">
      <c r="AE304" s="25"/>
    </row>
    <row r="305" spans="31:31" x14ac:dyDescent="0.3">
      <c r="AE305" s="25"/>
    </row>
    <row r="306" spans="31:31" x14ac:dyDescent="0.3">
      <c r="AE306" s="25"/>
    </row>
    <row r="307" spans="31:31" x14ac:dyDescent="0.3">
      <c r="AE307" s="25"/>
    </row>
    <row r="308" spans="31:31" x14ac:dyDescent="0.3">
      <c r="AE308" s="25"/>
    </row>
    <row r="309" spans="31:31" x14ac:dyDescent="0.3">
      <c r="AE309" s="25"/>
    </row>
    <row r="310" spans="31:31" x14ac:dyDescent="0.3">
      <c r="AE310" s="25"/>
    </row>
    <row r="311" spans="31:31" x14ac:dyDescent="0.3">
      <c r="AE311" s="25"/>
    </row>
    <row r="312" spans="31:31" x14ac:dyDescent="0.3">
      <c r="AE312" s="25"/>
    </row>
    <row r="313" spans="31:31" x14ac:dyDescent="0.3">
      <c r="AE313" s="25"/>
    </row>
    <row r="314" spans="31:31" x14ac:dyDescent="0.3">
      <c r="AE314" s="25"/>
    </row>
    <row r="315" spans="31:31" x14ac:dyDescent="0.3">
      <c r="AE315" s="25"/>
    </row>
    <row r="316" spans="31:31" x14ac:dyDescent="0.3">
      <c r="AE316" s="25"/>
    </row>
    <row r="317" spans="31:31" x14ac:dyDescent="0.3">
      <c r="AE317" s="25"/>
    </row>
    <row r="318" spans="31:31" x14ac:dyDescent="0.3">
      <c r="AE318" s="25"/>
    </row>
    <row r="319" spans="31:31" x14ac:dyDescent="0.3">
      <c r="AE319" s="25"/>
    </row>
    <row r="320" spans="31:31" x14ac:dyDescent="0.3">
      <c r="AE320" s="25"/>
    </row>
    <row r="321" spans="31:31" x14ac:dyDescent="0.3">
      <c r="AE321" s="25"/>
    </row>
    <row r="322" spans="31:31" x14ac:dyDescent="0.3">
      <c r="AE322" s="25"/>
    </row>
    <row r="323" spans="31:31" x14ac:dyDescent="0.3">
      <c r="AE323" s="25"/>
    </row>
    <row r="324" spans="31:31" x14ac:dyDescent="0.3">
      <c r="AE324" s="25"/>
    </row>
    <row r="325" spans="31:31" x14ac:dyDescent="0.3">
      <c r="AE325" s="25"/>
    </row>
    <row r="326" spans="31:31" x14ac:dyDescent="0.3">
      <c r="AE326" s="25"/>
    </row>
    <row r="327" spans="31:31" x14ac:dyDescent="0.3">
      <c r="AE327" s="25"/>
    </row>
    <row r="328" spans="31:31" x14ac:dyDescent="0.3">
      <c r="AE328" s="25"/>
    </row>
    <row r="329" spans="31:31" x14ac:dyDescent="0.3">
      <c r="AE329" s="25"/>
    </row>
    <row r="330" spans="31:31" x14ac:dyDescent="0.3">
      <c r="AE330" s="25"/>
    </row>
    <row r="331" spans="31:31" x14ac:dyDescent="0.3">
      <c r="AE331" s="25"/>
    </row>
    <row r="332" spans="31:31" x14ac:dyDescent="0.3">
      <c r="AE332" s="25"/>
    </row>
    <row r="333" spans="31:31" x14ac:dyDescent="0.3">
      <c r="AE333" s="25"/>
    </row>
    <row r="334" spans="31:31" x14ac:dyDescent="0.3">
      <c r="AE334" s="25"/>
    </row>
    <row r="335" spans="31:31" x14ac:dyDescent="0.3">
      <c r="AE335" s="25"/>
    </row>
    <row r="336" spans="31:31" x14ac:dyDescent="0.3">
      <c r="AE336" s="25"/>
    </row>
    <row r="337" spans="31:31" x14ac:dyDescent="0.3">
      <c r="AE337" s="25"/>
    </row>
    <row r="338" spans="31:31" x14ac:dyDescent="0.3">
      <c r="AE338" s="25"/>
    </row>
    <row r="339" spans="31:31" x14ac:dyDescent="0.3">
      <c r="AE339" s="25"/>
    </row>
    <row r="340" spans="31:31" x14ac:dyDescent="0.3">
      <c r="AE340" s="25"/>
    </row>
    <row r="341" spans="31:31" x14ac:dyDescent="0.3">
      <c r="AE341" s="25"/>
    </row>
    <row r="342" spans="31:31" x14ac:dyDescent="0.3">
      <c r="AE342" s="25"/>
    </row>
    <row r="343" spans="31:31" x14ac:dyDescent="0.3">
      <c r="AE343" s="25"/>
    </row>
    <row r="344" spans="31:31" x14ac:dyDescent="0.3">
      <c r="AE344" s="25"/>
    </row>
    <row r="345" spans="31:31" x14ac:dyDescent="0.3">
      <c r="AE345" s="25"/>
    </row>
    <row r="346" spans="31:31" x14ac:dyDescent="0.3">
      <c r="AE346" s="25"/>
    </row>
    <row r="347" spans="31:31" x14ac:dyDescent="0.3">
      <c r="AE347" s="25"/>
    </row>
    <row r="348" spans="31:31" x14ac:dyDescent="0.3">
      <c r="AE348" s="25"/>
    </row>
    <row r="349" spans="31:31" x14ac:dyDescent="0.3">
      <c r="AE349" s="25"/>
    </row>
    <row r="350" spans="31:31" x14ac:dyDescent="0.3">
      <c r="AE350" s="25"/>
    </row>
    <row r="351" spans="31:31" x14ac:dyDescent="0.3">
      <c r="AE351" s="25"/>
    </row>
    <row r="352" spans="31:31" x14ac:dyDescent="0.3">
      <c r="AE352" s="25"/>
    </row>
    <row r="353" spans="31:31" x14ac:dyDescent="0.3">
      <c r="AE353" s="25"/>
    </row>
    <row r="354" spans="31:31" x14ac:dyDescent="0.3">
      <c r="AE354" s="25"/>
    </row>
    <row r="355" spans="31:31" x14ac:dyDescent="0.3">
      <c r="AE355" s="25"/>
    </row>
    <row r="356" spans="31:31" x14ac:dyDescent="0.3">
      <c r="AE356" s="25"/>
    </row>
    <row r="357" spans="31:31" x14ac:dyDescent="0.3">
      <c r="AE357" s="25"/>
    </row>
    <row r="358" spans="31:31" x14ac:dyDescent="0.3">
      <c r="AE358" s="25"/>
    </row>
    <row r="359" spans="31:31" x14ac:dyDescent="0.3">
      <c r="AE359" s="25"/>
    </row>
    <row r="360" spans="31:31" x14ac:dyDescent="0.3">
      <c r="AE360" s="25"/>
    </row>
    <row r="361" spans="31:31" x14ac:dyDescent="0.3">
      <c r="AE361" s="25"/>
    </row>
    <row r="362" spans="31:31" x14ac:dyDescent="0.3">
      <c r="AE362" s="25"/>
    </row>
    <row r="363" spans="31:31" x14ac:dyDescent="0.3">
      <c r="AE363" s="25"/>
    </row>
    <row r="364" spans="31:31" x14ac:dyDescent="0.3">
      <c r="AE364" s="25"/>
    </row>
    <row r="365" spans="31:31" x14ac:dyDescent="0.3">
      <c r="AE365" s="25"/>
    </row>
    <row r="366" spans="31:31" x14ac:dyDescent="0.3">
      <c r="AE366" s="25"/>
    </row>
    <row r="367" spans="31:31" x14ac:dyDescent="0.3">
      <c r="AE367" s="25"/>
    </row>
    <row r="368" spans="31:31" x14ac:dyDescent="0.3">
      <c r="AE368" s="25"/>
    </row>
    <row r="369" spans="31:31" x14ac:dyDescent="0.3">
      <c r="AE369" s="25"/>
    </row>
    <row r="370" spans="31:31" x14ac:dyDescent="0.3">
      <c r="AE370" s="25"/>
    </row>
    <row r="371" spans="31:31" x14ac:dyDescent="0.3">
      <c r="AE371" s="25"/>
    </row>
    <row r="372" spans="31:31" x14ac:dyDescent="0.3">
      <c r="AE372" s="25"/>
    </row>
    <row r="373" spans="31:31" x14ac:dyDescent="0.3">
      <c r="AE373" s="25"/>
    </row>
    <row r="374" spans="31:31" x14ac:dyDescent="0.3">
      <c r="AE374" s="25"/>
    </row>
    <row r="375" spans="31:31" x14ac:dyDescent="0.3">
      <c r="AE375" s="25"/>
    </row>
    <row r="376" spans="31:31" x14ac:dyDescent="0.3">
      <c r="AE376" s="25"/>
    </row>
    <row r="377" spans="31:31" x14ac:dyDescent="0.3">
      <c r="AE377" s="25"/>
    </row>
    <row r="378" spans="31:31" x14ac:dyDescent="0.3">
      <c r="AE378" s="25"/>
    </row>
    <row r="379" spans="31:31" x14ac:dyDescent="0.3">
      <c r="AE379" s="25"/>
    </row>
    <row r="380" spans="31:31" x14ac:dyDescent="0.3">
      <c r="AE380" s="25"/>
    </row>
    <row r="381" spans="31:31" x14ac:dyDescent="0.3">
      <c r="AE381" s="25"/>
    </row>
    <row r="382" spans="31:31" x14ac:dyDescent="0.3">
      <c r="AE382" s="25"/>
    </row>
    <row r="383" spans="31:31" x14ac:dyDescent="0.3">
      <c r="AE383" s="25"/>
    </row>
    <row r="384" spans="31:31" x14ac:dyDescent="0.3">
      <c r="AE384" s="25"/>
    </row>
    <row r="385" spans="31:31" x14ac:dyDescent="0.3">
      <c r="AE385" s="25"/>
    </row>
    <row r="386" spans="31:31" x14ac:dyDescent="0.3">
      <c r="AE386" s="25"/>
    </row>
    <row r="387" spans="31:31" x14ac:dyDescent="0.3">
      <c r="AE387" s="25"/>
    </row>
    <row r="388" spans="31:31" x14ac:dyDescent="0.3">
      <c r="AE388" s="25"/>
    </row>
    <row r="389" spans="31:31" x14ac:dyDescent="0.3">
      <c r="AE389" s="25"/>
    </row>
    <row r="390" spans="31:31" x14ac:dyDescent="0.3">
      <c r="AE390" s="25"/>
    </row>
    <row r="391" spans="31:31" x14ac:dyDescent="0.3">
      <c r="AE391" s="25"/>
    </row>
    <row r="392" spans="31:31" x14ac:dyDescent="0.3">
      <c r="AE392" s="25"/>
    </row>
    <row r="393" spans="31:31" x14ac:dyDescent="0.3">
      <c r="AE393" s="25"/>
    </row>
    <row r="394" spans="31:31" x14ac:dyDescent="0.3">
      <c r="AE394" s="25"/>
    </row>
    <row r="395" spans="31:31" x14ac:dyDescent="0.3">
      <c r="AE395" s="25"/>
    </row>
    <row r="396" spans="31:31" x14ac:dyDescent="0.3">
      <c r="AE396" s="25"/>
    </row>
    <row r="397" spans="31:31" x14ac:dyDescent="0.3">
      <c r="AE397" s="25"/>
    </row>
    <row r="398" spans="31:31" x14ac:dyDescent="0.3">
      <c r="AE398" s="25"/>
    </row>
    <row r="399" spans="31:31" x14ac:dyDescent="0.3">
      <c r="AE399" s="25"/>
    </row>
    <row r="400" spans="31:31" x14ac:dyDescent="0.3">
      <c r="AE400" s="25"/>
    </row>
    <row r="401" spans="31:31" x14ac:dyDescent="0.3">
      <c r="AE401" s="25"/>
    </row>
    <row r="402" spans="31:31" x14ac:dyDescent="0.3">
      <c r="AE402" s="25"/>
    </row>
    <row r="403" spans="31:31" x14ac:dyDescent="0.3">
      <c r="AE403" s="25"/>
    </row>
    <row r="404" spans="31:31" x14ac:dyDescent="0.3">
      <c r="AE404" s="25"/>
    </row>
    <row r="405" spans="31:31" x14ac:dyDescent="0.3">
      <c r="AE405" s="25"/>
    </row>
    <row r="406" spans="31:31" x14ac:dyDescent="0.3">
      <c r="AE406" s="25"/>
    </row>
    <row r="407" spans="31:31" x14ac:dyDescent="0.3">
      <c r="AE407" s="25"/>
    </row>
    <row r="408" spans="31:31" x14ac:dyDescent="0.3">
      <c r="AE408" s="25"/>
    </row>
    <row r="409" spans="31:31" x14ac:dyDescent="0.3">
      <c r="AE409" s="25"/>
    </row>
    <row r="410" spans="31:31" x14ac:dyDescent="0.3">
      <c r="AE410" s="25"/>
    </row>
    <row r="411" spans="31:31" x14ac:dyDescent="0.3">
      <c r="AE411" s="25"/>
    </row>
    <row r="412" spans="31:31" x14ac:dyDescent="0.3">
      <c r="AE412" s="25"/>
    </row>
    <row r="413" spans="31:31" x14ac:dyDescent="0.3">
      <c r="AE413" s="25"/>
    </row>
    <row r="414" spans="31:31" x14ac:dyDescent="0.3">
      <c r="AE414" s="25"/>
    </row>
    <row r="415" spans="31:31" x14ac:dyDescent="0.3">
      <c r="AE415" s="25"/>
    </row>
    <row r="416" spans="31:31" x14ac:dyDescent="0.3">
      <c r="AE416" s="25"/>
    </row>
    <row r="417" spans="31:31" x14ac:dyDescent="0.3">
      <c r="AE417" s="25"/>
    </row>
    <row r="418" spans="31:31" x14ac:dyDescent="0.3">
      <c r="AE418" s="25"/>
    </row>
    <row r="419" spans="31:31" x14ac:dyDescent="0.3">
      <c r="AE419" s="25"/>
    </row>
    <row r="420" spans="31:31" x14ac:dyDescent="0.3">
      <c r="AE420" s="25"/>
    </row>
    <row r="421" spans="31:31" x14ac:dyDescent="0.3">
      <c r="AE421" s="25"/>
    </row>
    <row r="422" spans="31:31" x14ac:dyDescent="0.3">
      <c r="AE422" s="25"/>
    </row>
    <row r="423" spans="31:31" x14ac:dyDescent="0.3">
      <c r="AE423" s="25"/>
    </row>
    <row r="424" spans="31:31" x14ac:dyDescent="0.3">
      <c r="AE424" s="25"/>
    </row>
    <row r="425" spans="31:31" x14ac:dyDescent="0.3">
      <c r="AE425" s="25"/>
    </row>
    <row r="426" spans="31:31" x14ac:dyDescent="0.3">
      <c r="AE426" s="25"/>
    </row>
    <row r="427" spans="31:31" x14ac:dyDescent="0.3">
      <c r="AE427" s="25"/>
    </row>
    <row r="428" spans="31:31" x14ac:dyDescent="0.3">
      <c r="AE428" s="25"/>
    </row>
    <row r="429" spans="31:31" x14ac:dyDescent="0.3">
      <c r="AE429" s="25"/>
    </row>
    <row r="430" spans="31:31" x14ac:dyDescent="0.3">
      <c r="AE430" s="25"/>
    </row>
    <row r="431" spans="31:31" x14ac:dyDescent="0.3">
      <c r="AE431" s="25"/>
    </row>
    <row r="432" spans="31:31" x14ac:dyDescent="0.3">
      <c r="AE432" s="25"/>
    </row>
    <row r="433" spans="31:31" x14ac:dyDescent="0.3">
      <c r="AE433" s="25"/>
    </row>
    <row r="434" spans="31:31" x14ac:dyDescent="0.3">
      <c r="AE434" s="25"/>
    </row>
    <row r="435" spans="31:31" x14ac:dyDescent="0.3">
      <c r="AE435" s="25"/>
    </row>
    <row r="436" spans="31:31" x14ac:dyDescent="0.3">
      <c r="AE436" s="25"/>
    </row>
    <row r="437" spans="31:31" x14ac:dyDescent="0.3">
      <c r="AE437" s="25"/>
    </row>
    <row r="438" spans="31:31" x14ac:dyDescent="0.3">
      <c r="AE438" s="25"/>
    </row>
    <row r="439" spans="31:31" x14ac:dyDescent="0.3">
      <c r="AE439" s="25"/>
    </row>
    <row r="440" spans="31:31" x14ac:dyDescent="0.3">
      <c r="AE440" s="25"/>
    </row>
    <row r="441" spans="31:31" x14ac:dyDescent="0.3">
      <c r="AE441" s="25"/>
    </row>
    <row r="442" spans="31:31" x14ac:dyDescent="0.3">
      <c r="AE442" s="25"/>
    </row>
    <row r="443" spans="31:31" x14ac:dyDescent="0.3">
      <c r="AE443" s="25"/>
    </row>
    <row r="444" spans="31:31" x14ac:dyDescent="0.3">
      <c r="AE444" s="25"/>
    </row>
    <row r="445" spans="31:31" x14ac:dyDescent="0.3">
      <c r="AE445" s="25"/>
    </row>
    <row r="446" spans="31:31" x14ac:dyDescent="0.3">
      <c r="AE446" s="25"/>
    </row>
    <row r="447" spans="31:31" x14ac:dyDescent="0.3">
      <c r="AE447" s="25"/>
    </row>
    <row r="448" spans="31:31" x14ac:dyDescent="0.3">
      <c r="AE448" s="25"/>
    </row>
    <row r="449" spans="31:31" x14ac:dyDescent="0.3">
      <c r="AE449" s="25"/>
    </row>
    <row r="450" spans="31:31" x14ac:dyDescent="0.3">
      <c r="AE450" s="25"/>
    </row>
    <row r="451" spans="31:31" x14ac:dyDescent="0.3">
      <c r="AE451" s="25"/>
    </row>
    <row r="452" spans="31:31" x14ac:dyDescent="0.3">
      <c r="AE452" s="25"/>
    </row>
    <row r="453" spans="31:31" x14ac:dyDescent="0.3">
      <c r="AE453" s="25"/>
    </row>
    <row r="454" spans="31:31" x14ac:dyDescent="0.3">
      <c r="AE454" s="25"/>
    </row>
    <row r="455" spans="31:31" x14ac:dyDescent="0.3">
      <c r="AE455" s="25"/>
    </row>
    <row r="456" spans="31:31" x14ac:dyDescent="0.3">
      <c r="AE456" s="25"/>
    </row>
    <row r="457" spans="31:31" x14ac:dyDescent="0.3">
      <c r="AE457" s="25"/>
    </row>
    <row r="458" spans="31:31" x14ac:dyDescent="0.3">
      <c r="AE458" s="25"/>
    </row>
    <row r="459" spans="31:31" x14ac:dyDescent="0.3">
      <c r="AE459" s="25"/>
    </row>
    <row r="460" spans="31:31" x14ac:dyDescent="0.3">
      <c r="AE460" s="25"/>
    </row>
    <row r="461" spans="31:31" x14ac:dyDescent="0.3">
      <c r="AE461" s="25"/>
    </row>
    <row r="462" spans="31:31" x14ac:dyDescent="0.3">
      <c r="AE462" s="25"/>
    </row>
    <row r="463" spans="31:31" x14ac:dyDescent="0.3">
      <c r="AE463" s="25"/>
    </row>
    <row r="464" spans="31:31" x14ac:dyDescent="0.3">
      <c r="AE464" s="25"/>
    </row>
    <row r="465" spans="31:31" x14ac:dyDescent="0.3">
      <c r="AE465" s="25"/>
    </row>
    <row r="466" spans="31:31" x14ac:dyDescent="0.3">
      <c r="AE466" s="25"/>
    </row>
    <row r="467" spans="31:31" x14ac:dyDescent="0.3">
      <c r="AE467" s="25"/>
    </row>
    <row r="468" spans="31:31" x14ac:dyDescent="0.3">
      <c r="AE468" s="25"/>
    </row>
    <row r="469" spans="31:31" x14ac:dyDescent="0.3">
      <c r="AE469" s="25"/>
    </row>
    <row r="470" spans="31:31" x14ac:dyDescent="0.3">
      <c r="AE470" s="25"/>
    </row>
    <row r="471" spans="31:31" x14ac:dyDescent="0.3">
      <c r="AE471" s="25"/>
    </row>
    <row r="472" spans="31:31" x14ac:dyDescent="0.3">
      <c r="AE472" s="25"/>
    </row>
    <row r="473" spans="31:31" x14ac:dyDescent="0.3">
      <c r="AE473" s="25"/>
    </row>
    <row r="474" spans="31:31" x14ac:dyDescent="0.3">
      <c r="AE474" s="25"/>
    </row>
    <row r="475" spans="31:31" x14ac:dyDescent="0.3">
      <c r="AE475" s="25"/>
    </row>
    <row r="476" spans="31:31" x14ac:dyDescent="0.3">
      <c r="AE476" s="25"/>
    </row>
    <row r="477" spans="31:31" x14ac:dyDescent="0.3">
      <c r="AE477" s="25"/>
    </row>
    <row r="478" spans="31:31" x14ac:dyDescent="0.3">
      <c r="AE478" s="25"/>
    </row>
    <row r="479" spans="31:31" x14ac:dyDescent="0.3">
      <c r="AE479" s="25"/>
    </row>
    <row r="480" spans="31:31" x14ac:dyDescent="0.3">
      <c r="AE480" s="25"/>
    </row>
    <row r="481" spans="31:31" x14ac:dyDescent="0.3">
      <c r="AE481" s="25"/>
    </row>
    <row r="482" spans="31:31" x14ac:dyDescent="0.3">
      <c r="AE482" s="25"/>
    </row>
    <row r="483" spans="31:31" x14ac:dyDescent="0.3">
      <c r="AE483" s="25"/>
    </row>
    <row r="484" spans="31:31" x14ac:dyDescent="0.3">
      <c r="AE484" s="25"/>
    </row>
    <row r="485" spans="31:31" x14ac:dyDescent="0.3">
      <c r="AE485" s="25"/>
    </row>
    <row r="486" spans="31:31" x14ac:dyDescent="0.3">
      <c r="AE486" s="25"/>
    </row>
    <row r="487" spans="31:31" x14ac:dyDescent="0.3">
      <c r="AE487" s="25"/>
    </row>
    <row r="488" spans="31:31" x14ac:dyDescent="0.3">
      <c r="AE488" s="25"/>
    </row>
    <row r="489" spans="31:31" x14ac:dyDescent="0.3">
      <c r="AE489" s="25"/>
    </row>
    <row r="490" spans="31:31" x14ac:dyDescent="0.3">
      <c r="AE490" s="25"/>
    </row>
    <row r="491" spans="31:31" x14ac:dyDescent="0.3">
      <c r="AE491" s="25"/>
    </row>
    <row r="492" spans="31:31" x14ac:dyDescent="0.3">
      <c r="AE492" s="25"/>
    </row>
    <row r="493" spans="31:31" x14ac:dyDescent="0.3">
      <c r="AE493" s="25"/>
    </row>
    <row r="494" spans="31:31" x14ac:dyDescent="0.3">
      <c r="AE494" s="25"/>
    </row>
    <row r="495" spans="31:31" x14ac:dyDescent="0.3">
      <c r="AE495" s="25"/>
    </row>
    <row r="496" spans="31:31" x14ac:dyDescent="0.3">
      <c r="AE496" s="25"/>
    </row>
    <row r="497" spans="31:31" x14ac:dyDescent="0.3">
      <c r="AE497" s="25"/>
    </row>
    <row r="498" spans="31:31" x14ac:dyDescent="0.3">
      <c r="AE498" s="25"/>
    </row>
    <row r="499" spans="31:31" x14ac:dyDescent="0.3">
      <c r="AE499" s="25"/>
    </row>
  </sheetData>
  <mergeCells count="15">
    <mergeCell ref="O3:P3"/>
    <mergeCell ref="Q3:R3"/>
    <mergeCell ref="A1:AE1"/>
    <mergeCell ref="A2:AE2"/>
    <mergeCell ref="C3:D3"/>
    <mergeCell ref="E3:F3"/>
    <mergeCell ref="G3:H3"/>
    <mergeCell ref="I3:J3"/>
    <mergeCell ref="K3:L3"/>
    <mergeCell ref="M3:N3"/>
    <mergeCell ref="S3:T3"/>
    <mergeCell ref="U3:V3"/>
    <mergeCell ref="AC3:AD3"/>
    <mergeCell ref="W3:X3"/>
    <mergeCell ref="AA3:AB3"/>
  </mergeCells>
  <pageMargins left="0.24" right="0.12" top="0.26" bottom="0.35" header="0.14000000000000001" footer="0.12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opLeftCell="A67" workbookViewId="0">
      <selection sqref="A1:E1"/>
    </sheetView>
  </sheetViews>
  <sheetFormatPr defaultColWidth="9.109375" defaultRowHeight="14.4" x14ac:dyDescent="0.3"/>
  <cols>
    <col min="1" max="1" width="9.109375" style="1"/>
    <col min="2" max="2" width="30.6640625" style="1" customWidth="1"/>
    <col min="3" max="4" width="9.109375" style="1"/>
    <col min="5" max="5" width="15.6640625" style="1" bestFit="1" customWidth="1"/>
    <col min="6" max="16384" width="9.109375" style="1"/>
  </cols>
  <sheetData>
    <row r="1" spans="1:5" ht="81" customHeight="1" x14ac:dyDescent="0.25">
      <c r="A1" s="101" t="s">
        <v>0</v>
      </c>
      <c r="B1" s="101"/>
      <c r="C1" s="101"/>
      <c r="D1" s="101"/>
      <c r="E1" s="101"/>
    </row>
    <row r="2" spans="1:5" ht="18.75" customHeight="1" x14ac:dyDescent="0.25">
      <c r="A2" s="102" t="s">
        <v>63</v>
      </c>
      <c r="B2" s="102"/>
      <c r="C2" s="102"/>
      <c r="D2" s="102"/>
      <c r="E2" s="102"/>
    </row>
    <row r="3" spans="1:5" ht="15" customHeight="1" x14ac:dyDescent="0.25">
      <c r="A3" s="107" t="s">
        <v>79</v>
      </c>
      <c r="B3" s="108"/>
      <c r="C3" s="108"/>
      <c r="D3" s="109"/>
      <c r="E3" s="26"/>
    </row>
    <row r="4" spans="1:5" ht="45" x14ac:dyDescent="0.25">
      <c r="A4" s="19" t="s">
        <v>1</v>
      </c>
      <c r="B4" s="4" t="s">
        <v>2</v>
      </c>
      <c r="C4" s="3" t="s">
        <v>3</v>
      </c>
      <c r="D4" s="3" t="s">
        <v>4</v>
      </c>
      <c r="E4" s="3" t="s">
        <v>73</v>
      </c>
    </row>
    <row r="5" spans="1:5" ht="18.75" x14ac:dyDescent="0.25">
      <c r="A5" s="10">
        <v>1</v>
      </c>
      <c r="B5" s="11" t="s">
        <v>5</v>
      </c>
      <c r="C5" s="12">
        <v>27</v>
      </c>
      <c r="D5" s="12">
        <v>23</v>
      </c>
      <c r="E5" s="12">
        <f>D5*100/C5</f>
        <v>85.18518518518519</v>
      </c>
    </row>
    <row r="6" spans="1:5" ht="18.75" x14ac:dyDescent="0.25">
      <c r="A6" s="2">
        <v>2</v>
      </c>
      <c r="B6" s="7" t="s">
        <v>6</v>
      </c>
      <c r="C6" s="12">
        <v>27</v>
      </c>
      <c r="D6" s="12">
        <v>26</v>
      </c>
      <c r="E6" s="12">
        <f t="shared" ref="E6:E64" si="0">D6*100/C6</f>
        <v>96.296296296296291</v>
      </c>
    </row>
    <row r="7" spans="1:5" ht="18.75" x14ac:dyDescent="0.25">
      <c r="A7" s="2">
        <v>3</v>
      </c>
      <c r="B7" s="7" t="s">
        <v>7</v>
      </c>
      <c r="C7" s="12">
        <v>27</v>
      </c>
      <c r="D7" s="12">
        <v>16</v>
      </c>
      <c r="E7" s="27">
        <f t="shared" si="0"/>
        <v>59.25925925925926</v>
      </c>
    </row>
    <row r="8" spans="1:5" ht="18.75" x14ac:dyDescent="0.25">
      <c r="A8" s="2">
        <v>4</v>
      </c>
      <c r="B8" s="7" t="s">
        <v>8</v>
      </c>
      <c r="C8" s="12">
        <v>27</v>
      </c>
      <c r="D8" s="12">
        <v>20</v>
      </c>
      <c r="E8" s="27">
        <f t="shared" si="0"/>
        <v>74.074074074074076</v>
      </c>
    </row>
    <row r="9" spans="1:5" ht="18.75" x14ac:dyDescent="0.25">
      <c r="A9" s="2">
        <v>5</v>
      </c>
      <c r="B9" s="7" t="s">
        <v>9</v>
      </c>
      <c r="C9" s="12">
        <v>27</v>
      </c>
      <c r="D9" s="12">
        <v>15</v>
      </c>
      <c r="E9" s="27">
        <f t="shared" si="0"/>
        <v>55.555555555555557</v>
      </c>
    </row>
    <row r="10" spans="1:5" ht="18.75" x14ac:dyDescent="0.25">
      <c r="A10" s="2">
        <v>6</v>
      </c>
      <c r="B10" s="7" t="s">
        <v>10</v>
      </c>
      <c r="C10" s="12">
        <v>27</v>
      </c>
      <c r="D10" s="12">
        <v>4</v>
      </c>
      <c r="E10" s="27">
        <f t="shared" si="0"/>
        <v>14.814814814814815</v>
      </c>
    </row>
    <row r="11" spans="1:5" ht="18.75" x14ac:dyDescent="0.25">
      <c r="A11" s="2">
        <v>7</v>
      </c>
      <c r="B11" s="7" t="s">
        <v>11</v>
      </c>
      <c r="C11" s="12">
        <v>27</v>
      </c>
      <c r="D11" s="12">
        <v>18</v>
      </c>
      <c r="E11" s="28">
        <f t="shared" si="0"/>
        <v>66.666666666666671</v>
      </c>
    </row>
    <row r="12" spans="1:5" ht="18.75" x14ac:dyDescent="0.25">
      <c r="A12" s="2">
        <v>8</v>
      </c>
      <c r="B12" s="7" t="s">
        <v>12</v>
      </c>
      <c r="C12" s="12">
        <v>27</v>
      </c>
      <c r="D12" s="12">
        <v>23</v>
      </c>
      <c r="E12" s="12">
        <f t="shared" si="0"/>
        <v>85.18518518518519</v>
      </c>
    </row>
    <row r="13" spans="1:5" ht="18.75" x14ac:dyDescent="0.25">
      <c r="A13" s="2">
        <v>9</v>
      </c>
      <c r="B13" s="7" t="s">
        <v>13</v>
      </c>
      <c r="C13" s="12">
        <v>27</v>
      </c>
      <c r="D13" s="12">
        <v>25</v>
      </c>
      <c r="E13" s="12">
        <f t="shared" si="0"/>
        <v>92.592592592592595</v>
      </c>
    </row>
    <row r="14" spans="1:5" ht="18.75" x14ac:dyDescent="0.25">
      <c r="A14" s="2">
        <v>10</v>
      </c>
      <c r="B14" s="7" t="s">
        <v>14</v>
      </c>
      <c r="C14" s="12">
        <v>27</v>
      </c>
      <c r="D14" s="12">
        <v>22</v>
      </c>
      <c r="E14" s="12">
        <f t="shared" si="0"/>
        <v>81.481481481481481</v>
      </c>
    </row>
    <row r="15" spans="1:5" ht="18.75" x14ac:dyDescent="0.25">
      <c r="A15" s="2">
        <v>11</v>
      </c>
      <c r="B15" s="7" t="s">
        <v>15</v>
      </c>
      <c r="C15" s="12">
        <v>27</v>
      </c>
      <c r="D15" s="12">
        <v>19</v>
      </c>
      <c r="E15" s="27">
        <f t="shared" si="0"/>
        <v>70.370370370370367</v>
      </c>
    </row>
    <row r="16" spans="1:5" ht="18.75" x14ac:dyDescent="0.25">
      <c r="A16" s="2">
        <v>12</v>
      </c>
      <c r="B16" s="7" t="s">
        <v>16</v>
      </c>
      <c r="C16" s="12">
        <v>27</v>
      </c>
      <c r="D16" s="12">
        <v>0</v>
      </c>
      <c r="E16" s="27">
        <f t="shared" si="0"/>
        <v>0</v>
      </c>
    </row>
    <row r="17" spans="1:5" ht="18.75" x14ac:dyDescent="0.25">
      <c r="A17" s="2">
        <v>13</v>
      </c>
      <c r="B17" s="7" t="s">
        <v>17</v>
      </c>
      <c r="C17" s="12">
        <v>27</v>
      </c>
      <c r="D17" s="12">
        <v>23</v>
      </c>
      <c r="E17" s="12">
        <f t="shared" si="0"/>
        <v>85.18518518518519</v>
      </c>
    </row>
    <row r="18" spans="1:5" ht="18.75" x14ac:dyDescent="0.25">
      <c r="A18" s="2">
        <v>14</v>
      </c>
      <c r="B18" s="7" t="s">
        <v>18</v>
      </c>
      <c r="C18" s="12">
        <v>27</v>
      </c>
      <c r="D18" s="12">
        <v>26</v>
      </c>
      <c r="E18" s="12">
        <f t="shared" si="0"/>
        <v>96.296296296296291</v>
      </c>
    </row>
    <row r="19" spans="1:5" ht="18.75" x14ac:dyDescent="0.25">
      <c r="A19" s="2">
        <v>15</v>
      </c>
      <c r="B19" s="7" t="s">
        <v>19</v>
      </c>
      <c r="C19" s="12">
        <v>27</v>
      </c>
      <c r="D19" s="12">
        <v>21</v>
      </c>
      <c r="E19" s="12">
        <f t="shared" si="0"/>
        <v>77.777777777777771</v>
      </c>
    </row>
    <row r="20" spans="1:5" ht="18.75" x14ac:dyDescent="0.25">
      <c r="A20" s="2">
        <v>16</v>
      </c>
      <c r="B20" s="7" t="s">
        <v>71</v>
      </c>
      <c r="C20" s="12">
        <v>27</v>
      </c>
      <c r="D20" s="12">
        <v>19</v>
      </c>
      <c r="E20" s="27">
        <f t="shared" si="0"/>
        <v>70.370370370370367</v>
      </c>
    </row>
    <row r="21" spans="1:5" ht="18.75" x14ac:dyDescent="0.25">
      <c r="A21" s="2">
        <v>17</v>
      </c>
      <c r="B21" s="7" t="s">
        <v>20</v>
      </c>
      <c r="C21" s="12">
        <v>27</v>
      </c>
      <c r="D21" s="12">
        <v>26</v>
      </c>
      <c r="E21" s="12">
        <f t="shared" si="0"/>
        <v>96.296296296296291</v>
      </c>
    </row>
    <row r="22" spans="1:5" ht="18.75" x14ac:dyDescent="0.25">
      <c r="A22" s="2">
        <v>18</v>
      </c>
      <c r="B22" s="7" t="s">
        <v>21</v>
      </c>
      <c r="C22" s="12">
        <v>27</v>
      </c>
      <c r="D22" s="12">
        <v>22</v>
      </c>
      <c r="E22" s="12">
        <f t="shared" si="0"/>
        <v>81.481481481481481</v>
      </c>
    </row>
    <row r="23" spans="1:5" ht="18.75" x14ac:dyDescent="0.25">
      <c r="A23" s="2">
        <v>19</v>
      </c>
      <c r="B23" s="7" t="s">
        <v>22</v>
      </c>
      <c r="C23" s="12">
        <v>27</v>
      </c>
      <c r="D23" s="12">
        <v>16</v>
      </c>
      <c r="E23" s="27">
        <f t="shared" si="0"/>
        <v>59.25925925925926</v>
      </c>
    </row>
    <row r="24" spans="1:5" ht="18.75" x14ac:dyDescent="0.25">
      <c r="A24" s="2">
        <v>20</v>
      </c>
      <c r="B24" s="7" t="s">
        <v>23</v>
      </c>
      <c r="C24" s="12">
        <v>27</v>
      </c>
      <c r="D24" s="12">
        <v>23</v>
      </c>
      <c r="E24" s="12">
        <f t="shared" si="0"/>
        <v>85.18518518518519</v>
      </c>
    </row>
    <row r="25" spans="1:5" ht="18.75" x14ac:dyDescent="0.25">
      <c r="A25" s="2">
        <v>21</v>
      </c>
      <c r="B25" s="7" t="s">
        <v>24</v>
      </c>
      <c r="C25" s="12">
        <v>27</v>
      </c>
      <c r="D25" s="12">
        <v>27</v>
      </c>
      <c r="E25" s="12">
        <f t="shared" si="0"/>
        <v>100</v>
      </c>
    </row>
    <row r="26" spans="1:5" ht="18.75" x14ac:dyDescent="0.25">
      <c r="A26" s="2">
        <v>22</v>
      </c>
      <c r="B26" s="7" t="s">
        <v>25</v>
      </c>
      <c r="C26" s="12">
        <v>27</v>
      </c>
      <c r="D26" s="12">
        <v>20</v>
      </c>
      <c r="E26" s="27">
        <f t="shared" si="0"/>
        <v>74.074074074074076</v>
      </c>
    </row>
    <row r="27" spans="1:5" ht="18.75" x14ac:dyDescent="0.25">
      <c r="A27" s="2">
        <v>23</v>
      </c>
      <c r="B27" s="7" t="s">
        <v>26</v>
      </c>
      <c r="C27" s="12">
        <v>27</v>
      </c>
      <c r="D27" s="12">
        <v>24</v>
      </c>
      <c r="E27" s="12">
        <f t="shared" si="0"/>
        <v>88.888888888888886</v>
      </c>
    </row>
    <row r="28" spans="1:5" ht="18.75" x14ac:dyDescent="0.25">
      <c r="A28" s="2">
        <v>24</v>
      </c>
      <c r="B28" s="7" t="s">
        <v>27</v>
      </c>
      <c r="C28" s="12">
        <v>27</v>
      </c>
      <c r="D28" s="12">
        <v>22</v>
      </c>
      <c r="E28" s="12">
        <f t="shared" si="0"/>
        <v>81.481481481481481</v>
      </c>
    </row>
    <row r="29" spans="1:5" ht="18.75" x14ac:dyDescent="0.25">
      <c r="A29" s="2">
        <v>25</v>
      </c>
      <c r="B29" s="7" t="s">
        <v>28</v>
      </c>
      <c r="C29" s="12">
        <v>27</v>
      </c>
      <c r="D29" s="12">
        <v>23</v>
      </c>
      <c r="E29" s="12">
        <f t="shared" si="0"/>
        <v>85.18518518518519</v>
      </c>
    </row>
    <row r="30" spans="1:5" ht="18.75" x14ac:dyDescent="0.25">
      <c r="A30" s="2">
        <v>26</v>
      </c>
      <c r="B30" s="7" t="s">
        <v>29</v>
      </c>
      <c r="C30" s="12">
        <v>27</v>
      </c>
      <c r="D30" s="12">
        <v>25</v>
      </c>
      <c r="E30" s="12">
        <f t="shared" si="0"/>
        <v>92.592592592592595</v>
      </c>
    </row>
    <row r="31" spans="1:5" ht="18.75" x14ac:dyDescent="0.25">
      <c r="A31" s="2">
        <v>27</v>
      </c>
      <c r="B31" s="7" t="s">
        <v>30</v>
      </c>
      <c r="C31" s="12">
        <v>27</v>
      </c>
      <c r="D31" s="12">
        <v>21</v>
      </c>
      <c r="E31" s="12">
        <f t="shared" si="0"/>
        <v>77.777777777777771</v>
      </c>
    </row>
    <row r="32" spans="1:5" ht="18.75" x14ac:dyDescent="0.25">
      <c r="A32" s="2">
        <v>28</v>
      </c>
      <c r="B32" s="7" t="s">
        <v>31</v>
      </c>
      <c r="C32" s="12">
        <v>27</v>
      </c>
      <c r="D32" s="12">
        <v>25</v>
      </c>
      <c r="E32" s="12">
        <f t="shared" si="0"/>
        <v>92.592592592592595</v>
      </c>
    </row>
    <row r="33" spans="1:5" ht="18.75" x14ac:dyDescent="0.25">
      <c r="A33" s="2">
        <v>29</v>
      </c>
      <c r="B33" s="7" t="s">
        <v>32</v>
      </c>
      <c r="C33" s="12">
        <v>27</v>
      </c>
      <c r="D33" s="12">
        <v>23</v>
      </c>
      <c r="E33" s="12">
        <f t="shared" si="0"/>
        <v>85.18518518518519</v>
      </c>
    </row>
    <row r="34" spans="1:5" ht="18.75" x14ac:dyDescent="0.25">
      <c r="A34" s="2">
        <v>30</v>
      </c>
      <c r="B34" s="7" t="s">
        <v>33</v>
      </c>
      <c r="C34" s="12">
        <v>27</v>
      </c>
      <c r="D34" s="12">
        <v>26</v>
      </c>
      <c r="E34" s="12">
        <f t="shared" si="0"/>
        <v>96.296296296296291</v>
      </c>
    </row>
    <row r="35" spans="1:5" ht="18.75" x14ac:dyDescent="0.25">
      <c r="A35" s="2">
        <v>31</v>
      </c>
      <c r="B35" s="7" t="s">
        <v>34</v>
      </c>
      <c r="C35" s="12">
        <v>27</v>
      </c>
      <c r="D35" s="12">
        <v>22</v>
      </c>
      <c r="E35" s="12">
        <f t="shared" si="0"/>
        <v>81.481481481481481</v>
      </c>
    </row>
    <row r="36" spans="1:5" ht="18.75" x14ac:dyDescent="0.25">
      <c r="A36" s="2">
        <v>32</v>
      </c>
      <c r="B36" s="7" t="s">
        <v>35</v>
      </c>
      <c r="C36" s="12">
        <v>27</v>
      </c>
      <c r="D36" s="12">
        <v>23</v>
      </c>
      <c r="E36" s="12">
        <f t="shared" si="0"/>
        <v>85.18518518518519</v>
      </c>
    </row>
    <row r="37" spans="1:5" ht="18.75" x14ac:dyDescent="0.25">
      <c r="A37" s="2">
        <v>33</v>
      </c>
      <c r="B37" s="7" t="s">
        <v>36</v>
      </c>
      <c r="C37" s="12">
        <v>27</v>
      </c>
      <c r="D37" s="12">
        <v>26</v>
      </c>
      <c r="E37" s="12">
        <f t="shared" si="0"/>
        <v>96.296296296296291</v>
      </c>
    </row>
    <row r="38" spans="1:5" ht="18.75" x14ac:dyDescent="0.25">
      <c r="A38" s="2">
        <v>34</v>
      </c>
      <c r="B38" s="7" t="s">
        <v>37</v>
      </c>
      <c r="C38" s="12">
        <v>27</v>
      </c>
      <c r="D38" s="12">
        <v>4</v>
      </c>
      <c r="E38" s="27">
        <f t="shared" si="0"/>
        <v>14.814814814814815</v>
      </c>
    </row>
    <row r="39" spans="1:5" ht="18.75" x14ac:dyDescent="0.25">
      <c r="A39" s="2">
        <v>35</v>
      </c>
      <c r="B39" s="7" t="s">
        <v>67</v>
      </c>
      <c r="C39" s="12">
        <v>27</v>
      </c>
      <c r="D39" s="12">
        <v>25</v>
      </c>
      <c r="E39" s="12">
        <f t="shared" si="0"/>
        <v>92.592592592592595</v>
      </c>
    </row>
    <row r="40" spans="1:5" ht="18.75" x14ac:dyDescent="0.25">
      <c r="A40" s="2">
        <v>36</v>
      </c>
      <c r="B40" s="7" t="s">
        <v>38</v>
      </c>
      <c r="C40" s="12">
        <v>27</v>
      </c>
      <c r="D40" s="12">
        <v>17</v>
      </c>
      <c r="E40" s="28">
        <f t="shared" si="0"/>
        <v>62.962962962962962</v>
      </c>
    </row>
    <row r="41" spans="1:5" ht="18.75" x14ac:dyDescent="0.25">
      <c r="A41" s="2">
        <v>37</v>
      </c>
      <c r="B41" s="7" t="s">
        <v>39</v>
      </c>
      <c r="C41" s="12">
        <v>27</v>
      </c>
      <c r="D41" s="12">
        <v>27</v>
      </c>
      <c r="E41" s="12">
        <f t="shared" si="0"/>
        <v>100</v>
      </c>
    </row>
    <row r="42" spans="1:5" ht="18.75" x14ac:dyDescent="0.25">
      <c r="A42" s="2">
        <v>38</v>
      </c>
      <c r="B42" s="7" t="s">
        <v>40</v>
      </c>
      <c r="C42" s="12">
        <v>27</v>
      </c>
      <c r="D42" s="12">
        <v>27</v>
      </c>
      <c r="E42" s="12">
        <f t="shared" si="0"/>
        <v>100</v>
      </c>
    </row>
    <row r="43" spans="1:5" ht="18.75" x14ac:dyDescent="0.25">
      <c r="A43" s="2">
        <v>39</v>
      </c>
      <c r="B43" s="7" t="s">
        <v>41</v>
      </c>
      <c r="C43" s="12">
        <v>27</v>
      </c>
      <c r="D43" s="12">
        <v>25</v>
      </c>
      <c r="E43" s="12">
        <f t="shared" si="0"/>
        <v>92.592592592592595</v>
      </c>
    </row>
    <row r="44" spans="1:5" ht="18.75" x14ac:dyDescent="0.25">
      <c r="A44" s="2">
        <v>40</v>
      </c>
      <c r="B44" s="7" t="s">
        <v>42</v>
      </c>
      <c r="C44" s="12">
        <v>27</v>
      </c>
      <c r="D44" s="12">
        <v>23</v>
      </c>
      <c r="E44" s="12">
        <f t="shared" si="0"/>
        <v>85.18518518518519</v>
      </c>
    </row>
    <row r="45" spans="1:5" ht="18.75" x14ac:dyDescent="0.25">
      <c r="A45" s="2">
        <v>41</v>
      </c>
      <c r="B45" s="7" t="s">
        <v>43</v>
      </c>
      <c r="C45" s="12">
        <v>27</v>
      </c>
      <c r="D45" s="12">
        <v>24</v>
      </c>
      <c r="E45" s="12">
        <f t="shared" si="0"/>
        <v>88.888888888888886</v>
      </c>
    </row>
    <row r="46" spans="1:5" ht="18.75" x14ac:dyDescent="0.25">
      <c r="A46" s="2">
        <v>42</v>
      </c>
      <c r="B46" s="7" t="s">
        <v>44</v>
      </c>
      <c r="C46" s="12">
        <v>27</v>
      </c>
      <c r="D46" s="12">
        <v>25</v>
      </c>
      <c r="E46" s="12">
        <f t="shared" si="0"/>
        <v>92.592592592592595</v>
      </c>
    </row>
    <row r="47" spans="1:5" ht="18.75" x14ac:dyDescent="0.25">
      <c r="A47" s="2">
        <v>43</v>
      </c>
      <c r="B47" s="7" t="s">
        <v>45</v>
      </c>
      <c r="C47" s="12">
        <v>27</v>
      </c>
      <c r="D47" s="12">
        <v>24</v>
      </c>
      <c r="E47" s="12">
        <f t="shared" si="0"/>
        <v>88.888888888888886</v>
      </c>
    </row>
    <row r="48" spans="1:5" ht="18.75" x14ac:dyDescent="0.25">
      <c r="A48" s="2">
        <v>44</v>
      </c>
      <c r="B48" s="7" t="s">
        <v>46</v>
      </c>
      <c r="C48" s="12">
        <v>27</v>
      </c>
      <c r="D48" s="12">
        <v>13</v>
      </c>
      <c r="E48" s="27">
        <f t="shared" si="0"/>
        <v>48.148148148148145</v>
      </c>
    </row>
    <row r="49" spans="1:5" ht="18.75" x14ac:dyDescent="0.25">
      <c r="A49" s="2">
        <v>45</v>
      </c>
      <c r="B49" s="7" t="s">
        <v>47</v>
      </c>
      <c r="C49" s="12">
        <v>27</v>
      </c>
      <c r="D49" s="12">
        <v>21</v>
      </c>
      <c r="E49" s="12">
        <f t="shared" si="0"/>
        <v>77.777777777777771</v>
      </c>
    </row>
    <row r="50" spans="1:5" ht="18.75" x14ac:dyDescent="0.25">
      <c r="A50" s="2">
        <v>46</v>
      </c>
      <c r="B50" s="7" t="s">
        <v>48</v>
      </c>
      <c r="C50" s="12">
        <v>27</v>
      </c>
      <c r="D50" s="12">
        <v>20</v>
      </c>
      <c r="E50" s="12">
        <f t="shared" si="0"/>
        <v>74.074074074074076</v>
      </c>
    </row>
    <row r="51" spans="1:5" ht="18.75" x14ac:dyDescent="0.25">
      <c r="A51" s="2">
        <v>47</v>
      </c>
      <c r="B51" s="7" t="s">
        <v>49</v>
      </c>
      <c r="C51" s="12">
        <v>27</v>
      </c>
      <c r="D51" s="12">
        <v>21</v>
      </c>
      <c r="E51" s="12">
        <f t="shared" si="0"/>
        <v>77.777777777777771</v>
      </c>
    </row>
    <row r="52" spans="1:5" ht="18.75" x14ac:dyDescent="0.25">
      <c r="A52" s="2">
        <v>48</v>
      </c>
      <c r="B52" s="7" t="s">
        <v>50</v>
      </c>
      <c r="C52" s="12">
        <v>27</v>
      </c>
      <c r="D52" s="12">
        <v>17</v>
      </c>
      <c r="E52" s="27">
        <f t="shared" si="0"/>
        <v>62.962962962962962</v>
      </c>
    </row>
    <row r="53" spans="1:5" ht="18.75" x14ac:dyDescent="0.25">
      <c r="A53" s="2">
        <v>49</v>
      </c>
      <c r="B53" s="7" t="s">
        <v>51</v>
      </c>
      <c r="C53" s="12">
        <v>27</v>
      </c>
      <c r="D53" s="12">
        <v>23</v>
      </c>
      <c r="E53" s="12">
        <f t="shared" si="0"/>
        <v>85.18518518518519</v>
      </c>
    </row>
    <row r="54" spans="1:5" ht="18.75" x14ac:dyDescent="0.25">
      <c r="A54" s="2">
        <v>50</v>
      </c>
      <c r="B54" s="7" t="s">
        <v>52</v>
      </c>
      <c r="C54" s="12">
        <v>27</v>
      </c>
      <c r="D54" s="12">
        <v>23</v>
      </c>
      <c r="E54" s="12">
        <f t="shared" si="0"/>
        <v>85.18518518518519</v>
      </c>
    </row>
    <row r="55" spans="1:5" ht="18.75" x14ac:dyDescent="0.25">
      <c r="A55" s="2">
        <v>51</v>
      </c>
      <c r="B55" s="7" t="s">
        <v>53</v>
      </c>
      <c r="C55" s="12">
        <v>27</v>
      </c>
      <c r="D55" s="12">
        <v>25</v>
      </c>
      <c r="E55" s="12">
        <f t="shared" si="0"/>
        <v>92.592592592592595</v>
      </c>
    </row>
    <row r="56" spans="1:5" ht="18.75" x14ac:dyDescent="0.25">
      <c r="A56" s="2">
        <v>52</v>
      </c>
      <c r="B56" s="7" t="s">
        <v>54</v>
      </c>
      <c r="C56" s="12">
        <v>27</v>
      </c>
      <c r="D56" s="12">
        <v>26</v>
      </c>
      <c r="E56" s="12">
        <f t="shared" si="0"/>
        <v>96.296296296296291</v>
      </c>
    </row>
    <row r="57" spans="1:5" ht="18.75" x14ac:dyDescent="0.25">
      <c r="A57" s="2">
        <v>53</v>
      </c>
      <c r="B57" s="7" t="s">
        <v>55</v>
      </c>
      <c r="C57" s="12">
        <v>27</v>
      </c>
      <c r="D57" s="12">
        <v>23</v>
      </c>
      <c r="E57" s="12">
        <f t="shared" si="0"/>
        <v>85.18518518518519</v>
      </c>
    </row>
    <row r="58" spans="1:5" ht="18.75" x14ac:dyDescent="0.25">
      <c r="A58" s="2">
        <v>54</v>
      </c>
      <c r="B58" s="7" t="s">
        <v>56</v>
      </c>
      <c r="C58" s="12">
        <v>27</v>
      </c>
      <c r="D58" s="12">
        <v>21</v>
      </c>
      <c r="E58" s="12">
        <f t="shared" si="0"/>
        <v>77.777777777777771</v>
      </c>
    </row>
    <row r="59" spans="1:5" ht="18.75" x14ac:dyDescent="0.25">
      <c r="A59" s="2">
        <v>55</v>
      </c>
      <c r="B59" s="7" t="s">
        <v>57</v>
      </c>
      <c r="C59" s="12">
        <v>27</v>
      </c>
      <c r="D59" s="12">
        <v>25</v>
      </c>
      <c r="E59" s="12">
        <f t="shared" si="0"/>
        <v>92.592592592592595</v>
      </c>
    </row>
    <row r="60" spans="1:5" ht="18.75" x14ac:dyDescent="0.25">
      <c r="A60" s="2">
        <v>56</v>
      </c>
      <c r="B60" s="7" t="s">
        <v>58</v>
      </c>
      <c r="C60" s="12">
        <v>27</v>
      </c>
      <c r="D60" s="12">
        <v>2</v>
      </c>
      <c r="E60" s="27">
        <f t="shared" si="0"/>
        <v>7.4074074074074074</v>
      </c>
    </row>
    <row r="61" spans="1:5" ht="18.75" x14ac:dyDescent="0.25">
      <c r="A61" s="2">
        <v>57</v>
      </c>
      <c r="B61" s="7" t="s">
        <v>59</v>
      </c>
      <c r="C61" s="12">
        <v>27</v>
      </c>
      <c r="D61" s="12">
        <v>17</v>
      </c>
      <c r="E61" s="27">
        <f t="shared" si="0"/>
        <v>62.962962962962962</v>
      </c>
    </row>
    <row r="62" spans="1:5" ht="31.5" x14ac:dyDescent="0.25">
      <c r="A62" s="2">
        <v>58</v>
      </c>
      <c r="B62" s="7" t="s">
        <v>60</v>
      </c>
      <c r="C62" s="12">
        <v>27</v>
      </c>
      <c r="D62" s="12">
        <v>26</v>
      </c>
      <c r="E62" s="12">
        <f t="shared" si="0"/>
        <v>96.296296296296291</v>
      </c>
    </row>
    <row r="63" spans="1:5" ht="31.5" x14ac:dyDescent="0.25">
      <c r="A63" s="2">
        <v>59</v>
      </c>
      <c r="B63" s="8" t="s">
        <v>61</v>
      </c>
      <c r="C63" s="12">
        <v>27</v>
      </c>
      <c r="D63" s="12">
        <v>26</v>
      </c>
      <c r="E63" s="12">
        <f t="shared" si="0"/>
        <v>96.296296296296291</v>
      </c>
    </row>
    <row r="64" spans="1:5" ht="18.75" x14ac:dyDescent="0.25">
      <c r="A64" s="2">
        <v>60</v>
      </c>
      <c r="B64" s="9" t="s">
        <v>62</v>
      </c>
      <c r="C64" s="12">
        <v>27</v>
      </c>
      <c r="D64" s="12">
        <v>25</v>
      </c>
      <c r="E64" s="12">
        <f t="shared" si="0"/>
        <v>92.592592592592595</v>
      </c>
    </row>
  </sheetData>
  <mergeCells count="3">
    <mergeCell ref="A1:E1"/>
    <mergeCell ref="A2:E2"/>
    <mergeCell ref="A3:D3"/>
  </mergeCells>
  <pageMargins left="1.08" right="0.19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4"/>
  <sheetViews>
    <sheetView topLeftCell="A19" workbookViewId="0">
      <selection activeCell="J11" sqref="J11"/>
    </sheetView>
  </sheetViews>
  <sheetFormatPr defaultColWidth="27.33203125" defaultRowHeight="14.4" x14ac:dyDescent="0.3"/>
  <cols>
    <col min="1" max="1" width="3.33203125" bestFit="1" customWidth="1"/>
    <col min="2" max="2" width="27" style="32" bestFit="1" customWidth="1"/>
    <col min="3" max="3" width="3.33203125" customWidth="1"/>
    <col min="4" max="4" width="3.33203125" bestFit="1" customWidth="1"/>
    <col min="5" max="5" width="27.33203125" style="32"/>
    <col min="6" max="6" width="4" customWidth="1"/>
    <col min="7" max="7" width="3.33203125" bestFit="1" customWidth="1"/>
    <col min="8" max="8" width="27" bestFit="1" customWidth="1"/>
  </cols>
  <sheetData>
    <row r="1" spans="1:11" ht="15.75" x14ac:dyDescent="0.25">
      <c r="A1" s="36">
        <v>1</v>
      </c>
      <c r="B1" s="31" t="s">
        <v>5</v>
      </c>
      <c r="D1" s="30">
        <v>31</v>
      </c>
      <c r="E1" s="31" t="s">
        <v>34</v>
      </c>
      <c r="G1" s="36">
        <v>1</v>
      </c>
      <c r="H1" s="31" t="s">
        <v>5</v>
      </c>
    </row>
    <row r="2" spans="1:11" ht="15.75" x14ac:dyDescent="0.25">
      <c r="A2" s="29">
        <v>2</v>
      </c>
      <c r="B2" s="31" t="s">
        <v>6</v>
      </c>
      <c r="D2" s="30">
        <v>32</v>
      </c>
      <c r="E2" s="31" t="s">
        <v>35</v>
      </c>
      <c r="G2" s="29">
        <v>2</v>
      </c>
      <c r="H2" s="31" t="s">
        <v>6</v>
      </c>
    </row>
    <row r="3" spans="1:11" ht="15.75" x14ac:dyDescent="0.25">
      <c r="A3" s="30">
        <v>3</v>
      </c>
      <c r="B3" s="31" t="s">
        <v>7</v>
      </c>
      <c r="D3" s="30">
        <v>33</v>
      </c>
      <c r="E3" s="31" t="s">
        <v>36</v>
      </c>
      <c r="G3" s="30">
        <v>3</v>
      </c>
      <c r="H3" s="31" t="s">
        <v>7</v>
      </c>
    </row>
    <row r="4" spans="1:11" ht="15.75" x14ac:dyDescent="0.25">
      <c r="A4" s="30">
        <v>4</v>
      </c>
      <c r="B4" s="31" t="s">
        <v>80</v>
      </c>
      <c r="D4" s="30">
        <v>34</v>
      </c>
      <c r="E4" s="31" t="s">
        <v>37</v>
      </c>
      <c r="G4" s="30">
        <v>4</v>
      </c>
      <c r="H4" s="31" t="s">
        <v>80</v>
      </c>
    </row>
    <row r="5" spans="1:11" ht="15.75" x14ac:dyDescent="0.25">
      <c r="A5" s="30">
        <v>5</v>
      </c>
      <c r="B5" s="31" t="s">
        <v>9</v>
      </c>
      <c r="D5" s="30">
        <v>35</v>
      </c>
      <c r="E5" s="31" t="s">
        <v>81</v>
      </c>
      <c r="G5" s="30">
        <v>5</v>
      </c>
      <c r="H5" s="31" t="s">
        <v>9</v>
      </c>
    </row>
    <row r="6" spans="1:11" ht="15.75" x14ac:dyDescent="0.25">
      <c r="A6" s="30">
        <v>6</v>
      </c>
      <c r="B6" s="31" t="s">
        <v>10</v>
      </c>
      <c r="D6" s="30">
        <v>36</v>
      </c>
      <c r="E6" s="31" t="s">
        <v>38</v>
      </c>
      <c r="G6" s="30">
        <v>6</v>
      </c>
      <c r="H6" s="31" t="s">
        <v>10</v>
      </c>
    </row>
    <row r="7" spans="1:11" ht="15.75" x14ac:dyDescent="0.25">
      <c r="A7" s="30">
        <v>7</v>
      </c>
      <c r="B7" s="31" t="s">
        <v>11</v>
      </c>
      <c r="D7" s="30">
        <v>37</v>
      </c>
      <c r="E7" s="31" t="s">
        <v>39</v>
      </c>
      <c r="G7" s="30">
        <v>7</v>
      </c>
      <c r="H7" s="31" t="s">
        <v>11</v>
      </c>
    </row>
    <row r="8" spans="1:11" ht="15.75" x14ac:dyDescent="0.25">
      <c r="A8" s="30">
        <v>8</v>
      </c>
      <c r="B8" s="31" t="s">
        <v>12</v>
      </c>
      <c r="D8" s="30">
        <v>38</v>
      </c>
      <c r="E8" s="31" t="s">
        <v>40</v>
      </c>
      <c r="G8" s="30">
        <v>8</v>
      </c>
      <c r="H8" s="31" t="s">
        <v>12</v>
      </c>
    </row>
    <row r="9" spans="1:11" ht="15.75" x14ac:dyDescent="0.25">
      <c r="A9" s="30">
        <v>9</v>
      </c>
      <c r="B9" s="31" t="s">
        <v>13</v>
      </c>
      <c r="D9" s="30">
        <v>39</v>
      </c>
      <c r="E9" s="31" t="s">
        <v>41</v>
      </c>
      <c r="G9" s="30">
        <v>9</v>
      </c>
      <c r="H9" s="31" t="s">
        <v>13</v>
      </c>
    </row>
    <row r="10" spans="1:11" ht="15.75" x14ac:dyDescent="0.25">
      <c r="A10" s="30">
        <v>10</v>
      </c>
      <c r="B10" s="31" t="s">
        <v>14</v>
      </c>
      <c r="D10" s="30">
        <v>40</v>
      </c>
      <c r="E10" s="31" t="s">
        <v>42</v>
      </c>
      <c r="G10" s="30">
        <v>10</v>
      </c>
      <c r="H10" s="31" t="s">
        <v>14</v>
      </c>
    </row>
    <row r="11" spans="1:11" ht="15.75" x14ac:dyDescent="0.25">
      <c r="A11" s="30">
        <v>11</v>
      </c>
      <c r="B11" s="31" t="s">
        <v>15</v>
      </c>
      <c r="D11" s="30">
        <v>41</v>
      </c>
      <c r="E11" s="31" t="s">
        <v>43</v>
      </c>
      <c r="G11" s="30">
        <v>11</v>
      </c>
      <c r="H11" s="31" t="s">
        <v>15</v>
      </c>
      <c r="K11" s="1"/>
    </row>
    <row r="12" spans="1:11" ht="15.75" x14ac:dyDescent="0.25">
      <c r="A12" s="30">
        <v>12</v>
      </c>
      <c r="B12" s="31" t="s">
        <v>16</v>
      </c>
      <c r="D12" s="30">
        <v>42</v>
      </c>
      <c r="E12" s="31" t="s">
        <v>44</v>
      </c>
      <c r="G12" s="30">
        <v>12</v>
      </c>
      <c r="H12" s="31" t="s">
        <v>16</v>
      </c>
    </row>
    <row r="13" spans="1:11" ht="15.75" x14ac:dyDescent="0.25">
      <c r="A13" s="30">
        <v>13</v>
      </c>
      <c r="B13" s="31" t="s">
        <v>17</v>
      </c>
      <c r="D13" s="30">
        <v>43</v>
      </c>
      <c r="E13" s="31" t="s">
        <v>45</v>
      </c>
      <c r="G13" s="30">
        <v>13</v>
      </c>
      <c r="H13" s="31" t="s">
        <v>17</v>
      </c>
    </row>
    <row r="14" spans="1:11" ht="15.75" x14ac:dyDescent="0.25">
      <c r="A14" s="30">
        <v>14</v>
      </c>
      <c r="B14" s="31" t="s">
        <v>18</v>
      </c>
      <c r="D14" s="30">
        <v>44</v>
      </c>
      <c r="E14" s="31" t="s">
        <v>46</v>
      </c>
      <c r="G14" s="30">
        <v>14</v>
      </c>
      <c r="H14" s="31" t="s">
        <v>18</v>
      </c>
    </row>
    <row r="15" spans="1:11" ht="15.75" x14ac:dyDescent="0.25">
      <c r="A15" s="30">
        <v>15</v>
      </c>
      <c r="B15" s="31" t="s">
        <v>19</v>
      </c>
      <c r="D15" s="30">
        <v>45</v>
      </c>
      <c r="E15" s="31" t="s">
        <v>47</v>
      </c>
      <c r="G15" s="30">
        <v>15</v>
      </c>
      <c r="H15" s="31" t="s">
        <v>19</v>
      </c>
    </row>
    <row r="16" spans="1:11" ht="15.75" x14ac:dyDescent="0.25">
      <c r="A16" s="30">
        <v>16</v>
      </c>
      <c r="B16" s="31" t="s">
        <v>71</v>
      </c>
      <c r="D16" s="30">
        <v>46</v>
      </c>
      <c r="E16" s="31" t="s">
        <v>48</v>
      </c>
      <c r="G16" s="30">
        <v>16</v>
      </c>
      <c r="H16" s="31" t="s">
        <v>71</v>
      </c>
    </row>
    <row r="17" spans="1:8" ht="15.75" x14ac:dyDescent="0.25">
      <c r="A17" s="30">
        <v>17</v>
      </c>
      <c r="B17" s="31" t="s">
        <v>20</v>
      </c>
      <c r="D17" s="30">
        <v>47</v>
      </c>
      <c r="E17" s="31" t="s">
        <v>49</v>
      </c>
      <c r="G17" s="30">
        <v>17</v>
      </c>
      <c r="H17" s="31" t="s">
        <v>20</v>
      </c>
    </row>
    <row r="18" spans="1:8" ht="15.75" x14ac:dyDescent="0.25">
      <c r="A18" s="30">
        <v>18</v>
      </c>
      <c r="B18" s="31" t="s">
        <v>21</v>
      </c>
      <c r="D18" s="30">
        <v>48</v>
      </c>
      <c r="E18" s="31" t="s">
        <v>50</v>
      </c>
      <c r="G18" s="30">
        <v>18</v>
      </c>
      <c r="H18" s="31" t="s">
        <v>21</v>
      </c>
    </row>
    <row r="19" spans="1:8" ht="15.75" x14ac:dyDescent="0.25">
      <c r="A19" s="30">
        <v>19</v>
      </c>
      <c r="B19" s="31" t="s">
        <v>22</v>
      </c>
      <c r="D19" s="30">
        <v>49</v>
      </c>
      <c r="E19" s="31" t="s">
        <v>51</v>
      </c>
      <c r="G19" s="30">
        <v>19</v>
      </c>
      <c r="H19" s="31" t="s">
        <v>22</v>
      </c>
    </row>
    <row r="20" spans="1:8" ht="15.75" x14ac:dyDescent="0.25">
      <c r="A20" s="30">
        <v>20</v>
      </c>
      <c r="B20" s="31" t="s">
        <v>23</v>
      </c>
      <c r="D20" s="30">
        <v>50</v>
      </c>
      <c r="E20" s="31" t="s">
        <v>52</v>
      </c>
      <c r="G20" s="30">
        <v>20</v>
      </c>
      <c r="H20" s="31" t="s">
        <v>23</v>
      </c>
    </row>
    <row r="21" spans="1:8" ht="15.75" x14ac:dyDescent="0.25">
      <c r="A21" s="30">
        <v>21</v>
      </c>
      <c r="B21" s="31" t="s">
        <v>24</v>
      </c>
      <c r="D21" s="30">
        <v>51</v>
      </c>
      <c r="E21" s="31" t="s">
        <v>53</v>
      </c>
      <c r="G21" s="30">
        <v>21</v>
      </c>
      <c r="H21" s="31" t="s">
        <v>24</v>
      </c>
    </row>
    <row r="22" spans="1:8" ht="15.75" x14ac:dyDescent="0.25">
      <c r="A22" s="30">
        <v>22</v>
      </c>
      <c r="B22" s="31" t="s">
        <v>25</v>
      </c>
      <c r="D22" s="30">
        <v>52</v>
      </c>
      <c r="E22" s="31" t="s">
        <v>54</v>
      </c>
      <c r="G22" s="30">
        <v>22</v>
      </c>
      <c r="H22" s="31" t="s">
        <v>25</v>
      </c>
    </row>
    <row r="23" spans="1:8" ht="15.75" x14ac:dyDescent="0.25">
      <c r="A23" s="30">
        <v>23</v>
      </c>
      <c r="B23" s="31" t="s">
        <v>26</v>
      </c>
      <c r="D23" s="30">
        <v>53</v>
      </c>
      <c r="E23" s="31" t="s">
        <v>55</v>
      </c>
      <c r="G23" s="30">
        <v>23</v>
      </c>
      <c r="H23" s="31" t="s">
        <v>26</v>
      </c>
    </row>
    <row r="24" spans="1:8" ht="15.75" x14ac:dyDescent="0.25">
      <c r="A24" s="30">
        <v>24</v>
      </c>
      <c r="B24" s="31" t="s">
        <v>27</v>
      </c>
      <c r="D24" s="30">
        <v>54</v>
      </c>
      <c r="E24" s="31" t="s">
        <v>56</v>
      </c>
      <c r="G24" s="30">
        <v>24</v>
      </c>
      <c r="H24" s="31" t="s">
        <v>27</v>
      </c>
    </row>
    <row r="25" spans="1:8" ht="15.75" x14ac:dyDescent="0.25">
      <c r="A25" s="30">
        <v>25</v>
      </c>
      <c r="B25" s="31" t="s">
        <v>28</v>
      </c>
      <c r="D25" s="30">
        <v>55</v>
      </c>
      <c r="E25" s="31" t="s">
        <v>57</v>
      </c>
      <c r="G25" s="30">
        <v>25</v>
      </c>
      <c r="H25" s="31" t="s">
        <v>28</v>
      </c>
    </row>
    <row r="26" spans="1:8" ht="15.75" x14ac:dyDescent="0.25">
      <c r="A26" s="30">
        <v>26</v>
      </c>
      <c r="B26" s="31" t="s">
        <v>29</v>
      </c>
      <c r="D26" s="30">
        <v>56</v>
      </c>
      <c r="E26" s="31" t="s">
        <v>58</v>
      </c>
      <c r="G26" s="30">
        <v>26</v>
      </c>
      <c r="H26" s="31" t="s">
        <v>29</v>
      </c>
    </row>
    <row r="27" spans="1:8" ht="15.75" x14ac:dyDescent="0.25">
      <c r="A27" s="30">
        <v>27</v>
      </c>
      <c r="B27" s="31" t="s">
        <v>30</v>
      </c>
      <c r="D27" s="30">
        <v>57</v>
      </c>
      <c r="E27" s="31" t="s">
        <v>59</v>
      </c>
      <c r="G27" s="30">
        <v>27</v>
      </c>
      <c r="H27" s="31" t="s">
        <v>30</v>
      </c>
    </row>
    <row r="28" spans="1:8" ht="15.75" x14ac:dyDescent="0.25">
      <c r="A28" s="30">
        <v>28</v>
      </c>
      <c r="B28" s="31" t="s">
        <v>31</v>
      </c>
      <c r="D28" s="30">
        <v>58</v>
      </c>
      <c r="E28" s="31" t="s">
        <v>83</v>
      </c>
      <c r="G28" s="30">
        <v>28</v>
      </c>
      <c r="H28" s="31" t="s">
        <v>31</v>
      </c>
    </row>
    <row r="29" spans="1:8" ht="15.75" x14ac:dyDescent="0.25">
      <c r="A29" s="30">
        <v>29</v>
      </c>
      <c r="B29" s="31" t="s">
        <v>32</v>
      </c>
      <c r="D29" s="34">
        <v>59</v>
      </c>
      <c r="E29" s="31" t="s">
        <v>82</v>
      </c>
      <c r="G29" s="30">
        <v>29</v>
      </c>
      <c r="H29" s="31" t="s">
        <v>32</v>
      </c>
    </row>
    <row r="30" spans="1:8" ht="15.75" x14ac:dyDescent="0.25">
      <c r="A30" s="30">
        <v>30</v>
      </c>
      <c r="B30" s="31" t="s">
        <v>33</v>
      </c>
      <c r="D30" s="36">
        <v>60</v>
      </c>
      <c r="E30" s="31" t="s">
        <v>62</v>
      </c>
      <c r="G30" s="30">
        <v>30</v>
      </c>
      <c r="H30" s="31" t="s">
        <v>33</v>
      </c>
    </row>
    <row r="31" spans="1:8" ht="15" x14ac:dyDescent="0.25">
      <c r="B31" s="33"/>
      <c r="C31" s="33"/>
      <c r="D31" s="33"/>
      <c r="E31" s="33"/>
    </row>
    <row r="32" spans="1:8" ht="15" x14ac:dyDescent="0.25">
      <c r="B32" s="33"/>
      <c r="C32" s="33"/>
      <c r="D32" s="33"/>
      <c r="E32" s="33"/>
    </row>
    <row r="33" spans="2:5" ht="15" x14ac:dyDescent="0.25">
      <c r="B33" s="33"/>
      <c r="C33" s="33"/>
      <c r="D33" s="33"/>
      <c r="E33" s="33"/>
    </row>
    <row r="34" spans="2:5" ht="15" x14ac:dyDescent="0.25">
      <c r="B34" s="33"/>
      <c r="C34" s="33"/>
      <c r="D34" s="33"/>
      <c r="E34" s="33"/>
    </row>
    <row r="35" spans="2:5" ht="15" x14ac:dyDescent="0.25">
      <c r="B35" s="33"/>
      <c r="C35" s="33"/>
      <c r="D35" s="33"/>
      <c r="E35" s="33"/>
    </row>
    <row r="36" spans="2:5" ht="15" x14ac:dyDescent="0.25">
      <c r="B36" s="33"/>
      <c r="C36" s="33"/>
      <c r="D36" s="33"/>
      <c r="E36" s="33"/>
    </row>
    <row r="37" spans="2:5" ht="15" x14ac:dyDescent="0.25">
      <c r="B37" s="33"/>
      <c r="C37" s="33"/>
      <c r="D37" s="33"/>
      <c r="E37" s="33"/>
    </row>
    <row r="38" spans="2:5" ht="15" x14ac:dyDescent="0.25">
      <c r="B38" s="33"/>
      <c r="C38" s="33"/>
      <c r="D38" s="33"/>
      <c r="E38" s="33"/>
    </row>
    <row r="39" spans="2:5" ht="15" x14ac:dyDescent="0.25">
      <c r="B39" s="33"/>
      <c r="C39" s="33"/>
      <c r="D39" s="33"/>
      <c r="E39" s="33"/>
    </row>
    <row r="40" spans="2:5" ht="15" x14ac:dyDescent="0.25">
      <c r="B40" s="33"/>
      <c r="C40" s="33"/>
      <c r="D40" s="33"/>
      <c r="E40" s="33"/>
    </row>
    <row r="41" spans="2:5" ht="15" x14ac:dyDescent="0.25">
      <c r="B41" s="33"/>
      <c r="C41" s="33"/>
      <c r="D41" s="33"/>
      <c r="E41" s="33"/>
    </row>
    <row r="42" spans="2:5" ht="15" x14ac:dyDescent="0.25">
      <c r="B42" s="33"/>
      <c r="C42" s="33"/>
      <c r="D42" s="33"/>
      <c r="E42" s="33"/>
    </row>
    <row r="43" spans="2:5" ht="15" x14ac:dyDescent="0.25">
      <c r="B43" s="33"/>
      <c r="C43" s="33"/>
      <c r="D43" s="33"/>
      <c r="E43" s="33"/>
    </row>
    <row r="44" spans="2:5" ht="15" x14ac:dyDescent="0.25">
      <c r="B44" s="33"/>
      <c r="C44" s="33"/>
      <c r="D44" s="33"/>
      <c r="E44" s="33"/>
    </row>
    <row r="45" spans="2:5" ht="15" x14ac:dyDescent="0.25">
      <c r="B45" s="33"/>
      <c r="C45" s="33"/>
      <c r="D45" s="33"/>
      <c r="E45" s="33"/>
    </row>
    <row r="46" spans="2:5" ht="15" x14ac:dyDescent="0.25">
      <c r="B46" s="33"/>
      <c r="C46" s="33"/>
      <c r="D46" s="33"/>
      <c r="E46" s="33"/>
    </row>
    <row r="47" spans="2:5" ht="15" x14ac:dyDescent="0.25">
      <c r="B47" s="33"/>
      <c r="C47" s="33"/>
      <c r="D47" s="33"/>
      <c r="E47" s="33"/>
    </row>
    <row r="48" spans="2:5" x14ac:dyDescent="0.3">
      <c r="B48" s="33"/>
      <c r="C48" s="33"/>
      <c r="D48" s="33"/>
      <c r="E48" s="33"/>
    </row>
    <row r="49" spans="2:5" x14ac:dyDescent="0.3">
      <c r="B49" s="33"/>
      <c r="C49" s="33"/>
      <c r="D49" s="33"/>
      <c r="E49" s="33"/>
    </row>
    <row r="50" spans="2:5" x14ac:dyDescent="0.3">
      <c r="B50" s="33"/>
      <c r="C50" s="33"/>
      <c r="D50" s="33"/>
      <c r="E50" s="33"/>
    </row>
    <row r="51" spans="2:5" x14ac:dyDescent="0.3">
      <c r="B51" s="33"/>
      <c r="C51" s="33"/>
      <c r="D51" s="33"/>
      <c r="E51" s="33"/>
    </row>
    <row r="52" spans="2:5" x14ac:dyDescent="0.3">
      <c r="B52" s="33"/>
      <c r="C52" s="33"/>
      <c r="D52" s="33"/>
      <c r="E52" s="33"/>
    </row>
    <row r="53" spans="2:5" x14ac:dyDescent="0.3">
      <c r="B53" s="33"/>
      <c r="C53" s="33"/>
      <c r="D53" s="33"/>
      <c r="E53" s="33"/>
    </row>
    <row r="54" spans="2:5" x14ac:dyDescent="0.3">
      <c r="B54" s="33"/>
      <c r="C54" s="33"/>
      <c r="D54" s="33"/>
      <c r="E54" s="33"/>
    </row>
    <row r="55" spans="2:5" x14ac:dyDescent="0.3">
      <c r="B55" s="33"/>
      <c r="C55" s="33"/>
      <c r="D55" s="33"/>
      <c r="E55" s="33"/>
    </row>
    <row r="56" spans="2:5" x14ac:dyDescent="0.3">
      <c r="B56" s="33"/>
      <c r="C56" s="33"/>
      <c r="D56" s="33"/>
      <c r="E56" s="33"/>
    </row>
    <row r="57" spans="2:5" x14ac:dyDescent="0.3">
      <c r="B57" s="33"/>
      <c r="C57" s="33"/>
      <c r="D57" s="33"/>
      <c r="E57" s="33"/>
    </row>
    <row r="58" spans="2:5" x14ac:dyDescent="0.3">
      <c r="B58" s="33"/>
      <c r="C58" s="33"/>
      <c r="D58" s="33"/>
      <c r="E58" s="33"/>
    </row>
    <row r="59" spans="2:5" x14ac:dyDescent="0.3">
      <c r="B59" s="33"/>
      <c r="C59" s="33"/>
      <c r="D59" s="33"/>
      <c r="E59" s="33"/>
    </row>
    <row r="60" spans="2:5" x14ac:dyDescent="0.3">
      <c r="B60" s="33"/>
      <c r="C60" s="33"/>
      <c r="D60" s="33"/>
      <c r="E60" s="33"/>
    </row>
    <row r="61" spans="2:5" x14ac:dyDescent="0.3">
      <c r="B61" s="33"/>
      <c r="C61" s="33"/>
      <c r="D61" s="33"/>
      <c r="E61" s="33"/>
    </row>
    <row r="62" spans="2:5" x14ac:dyDescent="0.3">
      <c r="B62" s="33"/>
      <c r="C62" s="33"/>
      <c r="D62" s="33"/>
      <c r="E62" s="33"/>
    </row>
    <row r="63" spans="2:5" x14ac:dyDescent="0.3">
      <c r="B63" s="33"/>
      <c r="C63" s="33"/>
      <c r="D63" s="33"/>
      <c r="E63" s="33"/>
    </row>
    <row r="64" spans="2:5" x14ac:dyDescent="0.3">
      <c r="B64" s="33"/>
      <c r="C64" s="33"/>
      <c r="D64" s="33"/>
      <c r="E64" s="33"/>
    </row>
    <row r="65" spans="2:5" x14ac:dyDescent="0.3">
      <c r="B65" s="33"/>
      <c r="C65" s="33"/>
      <c r="D65" s="33"/>
      <c r="E65" s="33"/>
    </row>
    <row r="66" spans="2:5" x14ac:dyDescent="0.3">
      <c r="B66" s="33"/>
      <c r="C66" s="33"/>
      <c r="D66" s="33"/>
      <c r="E66" s="33"/>
    </row>
    <row r="67" spans="2:5" x14ac:dyDescent="0.3">
      <c r="B67" s="33"/>
      <c r="C67" s="33"/>
      <c r="D67" s="33"/>
      <c r="E67" s="33"/>
    </row>
    <row r="68" spans="2:5" x14ac:dyDescent="0.3">
      <c r="B68" s="33"/>
      <c r="C68" s="33"/>
      <c r="D68" s="33"/>
      <c r="E68" s="33"/>
    </row>
    <row r="69" spans="2:5" x14ac:dyDescent="0.3">
      <c r="B69" s="33"/>
      <c r="C69" s="33"/>
      <c r="D69" s="33"/>
      <c r="E69" s="33"/>
    </row>
    <row r="70" spans="2:5" x14ac:dyDescent="0.3">
      <c r="B70" s="33"/>
      <c r="C70" s="33"/>
      <c r="D70" s="33"/>
      <c r="E70" s="33"/>
    </row>
    <row r="71" spans="2:5" x14ac:dyDescent="0.3">
      <c r="B71" s="33"/>
      <c r="C71" s="33"/>
      <c r="D71" s="33"/>
      <c r="E71" s="33"/>
    </row>
    <row r="72" spans="2:5" x14ac:dyDescent="0.3">
      <c r="B72" s="33"/>
      <c r="C72" s="33"/>
      <c r="D72" s="33"/>
      <c r="E72" s="33"/>
    </row>
    <row r="73" spans="2:5" x14ac:dyDescent="0.3">
      <c r="B73" s="33"/>
      <c r="C73" s="33"/>
      <c r="D73" s="33"/>
      <c r="E73" s="33"/>
    </row>
    <row r="74" spans="2:5" x14ac:dyDescent="0.3">
      <c r="B74" s="33"/>
      <c r="C74" s="33"/>
      <c r="D74" s="33"/>
      <c r="E74" s="33"/>
    </row>
    <row r="75" spans="2:5" x14ac:dyDescent="0.3">
      <c r="B75" s="33"/>
      <c r="C75" s="33"/>
      <c r="D75" s="33"/>
      <c r="E75" s="33"/>
    </row>
    <row r="76" spans="2:5" x14ac:dyDescent="0.3">
      <c r="B76" s="33"/>
      <c r="C76" s="33"/>
      <c r="D76" s="33"/>
      <c r="E76" s="33"/>
    </row>
    <row r="77" spans="2:5" x14ac:dyDescent="0.3">
      <c r="B77" s="33"/>
      <c r="C77" s="33"/>
      <c r="D77" s="33"/>
      <c r="E77" s="33"/>
    </row>
    <row r="78" spans="2:5" x14ac:dyDescent="0.3">
      <c r="B78" s="33"/>
      <c r="C78" s="33"/>
      <c r="D78" s="33"/>
      <c r="E78" s="33"/>
    </row>
    <row r="79" spans="2:5" x14ac:dyDescent="0.3">
      <c r="B79" s="33"/>
      <c r="C79" s="33"/>
      <c r="D79" s="33"/>
      <c r="E79" s="33"/>
    </row>
    <row r="80" spans="2:5" x14ac:dyDescent="0.3">
      <c r="B80" s="33"/>
      <c r="C80" s="33"/>
      <c r="D80" s="33"/>
      <c r="E80" s="33"/>
    </row>
    <row r="81" spans="2:5" x14ac:dyDescent="0.3">
      <c r="B81" s="33"/>
      <c r="C81" s="33"/>
      <c r="D81" s="33"/>
      <c r="E81" s="33"/>
    </row>
    <row r="82" spans="2:5" x14ac:dyDescent="0.3">
      <c r="B82" s="33"/>
      <c r="C82" s="33"/>
      <c r="D82" s="33"/>
      <c r="E82" s="33"/>
    </row>
    <row r="83" spans="2:5" x14ac:dyDescent="0.3">
      <c r="B83" s="33"/>
      <c r="C83" s="33"/>
      <c r="D83" s="33"/>
      <c r="E83" s="33"/>
    </row>
    <row r="84" spans="2:5" x14ac:dyDescent="0.3">
      <c r="B84" s="33"/>
      <c r="C84" s="33"/>
      <c r="D84" s="33"/>
      <c r="E84" s="33"/>
    </row>
    <row r="85" spans="2:5" x14ac:dyDescent="0.3">
      <c r="B85" s="33"/>
      <c r="C85" s="33"/>
      <c r="D85" s="33"/>
      <c r="E85" s="33"/>
    </row>
    <row r="86" spans="2:5" x14ac:dyDescent="0.3">
      <c r="B86" s="33"/>
      <c r="C86" s="33"/>
      <c r="D86" s="33"/>
      <c r="E86" s="33"/>
    </row>
    <row r="87" spans="2:5" x14ac:dyDescent="0.3">
      <c r="B87" s="33"/>
      <c r="C87" s="33"/>
      <c r="D87" s="33"/>
      <c r="E87" s="33"/>
    </row>
    <row r="88" spans="2:5" x14ac:dyDescent="0.3">
      <c r="B88" s="33"/>
      <c r="C88" s="33"/>
      <c r="D88" s="33"/>
      <c r="E88" s="33"/>
    </row>
    <row r="89" spans="2:5" x14ac:dyDescent="0.3">
      <c r="B89" s="33"/>
      <c r="C89" s="33"/>
      <c r="D89" s="33"/>
      <c r="E89" s="33"/>
    </row>
    <row r="90" spans="2:5" x14ac:dyDescent="0.3">
      <c r="B90" s="33"/>
      <c r="C90" s="33"/>
      <c r="D90" s="33"/>
      <c r="E90" s="33"/>
    </row>
    <row r="91" spans="2:5" x14ac:dyDescent="0.3">
      <c r="B91" s="33"/>
      <c r="C91" s="33"/>
      <c r="D91" s="33"/>
      <c r="E91" s="33"/>
    </row>
    <row r="92" spans="2:5" x14ac:dyDescent="0.3">
      <c r="B92" s="33"/>
      <c r="C92" s="33"/>
      <c r="D92" s="33"/>
      <c r="E92" s="33"/>
    </row>
    <row r="93" spans="2:5" x14ac:dyDescent="0.3">
      <c r="B93" s="33"/>
      <c r="C93" s="33"/>
      <c r="D93" s="33"/>
      <c r="E93" s="33"/>
    </row>
    <row r="94" spans="2:5" x14ac:dyDescent="0.3">
      <c r="B94" s="33"/>
      <c r="C94" s="33"/>
      <c r="D94" s="33"/>
      <c r="E94" s="33"/>
    </row>
    <row r="95" spans="2:5" x14ac:dyDescent="0.3">
      <c r="B95" s="33"/>
      <c r="C95" s="33"/>
      <c r="D95" s="33"/>
      <c r="E95" s="33"/>
    </row>
    <row r="96" spans="2:5" x14ac:dyDescent="0.3">
      <c r="B96" s="33"/>
      <c r="C96" s="33"/>
      <c r="D96" s="33"/>
      <c r="E96" s="33"/>
    </row>
    <row r="97" spans="2:5" x14ac:dyDescent="0.3">
      <c r="B97" s="33"/>
      <c r="C97" s="33"/>
      <c r="D97" s="33"/>
      <c r="E97" s="33"/>
    </row>
    <row r="98" spans="2:5" x14ac:dyDescent="0.3">
      <c r="B98" s="33"/>
      <c r="C98" s="33"/>
      <c r="D98" s="33"/>
      <c r="E98" s="33"/>
    </row>
    <row r="99" spans="2:5" x14ac:dyDescent="0.3">
      <c r="B99" s="33"/>
      <c r="C99" s="33"/>
      <c r="D99" s="33"/>
      <c r="E99" s="33"/>
    </row>
    <row r="100" spans="2:5" x14ac:dyDescent="0.3">
      <c r="B100" s="33"/>
      <c r="C100" s="33"/>
      <c r="D100" s="33"/>
      <c r="E100" s="33"/>
    </row>
    <row r="101" spans="2:5" x14ac:dyDescent="0.3">
      <c r="B101" s="33"/>
      <c r="C101" s="33"/>
      <c r="D101" s="33"/>
      <c r="E101" s="33"/>
    </row>
    <row r="102" spans="2:5" x14ac:dyDescent="0.3">
      <c r="B102" s="33"/>
      <c r="C102" s="33"/>
      <c r="D102" s="33"/>
      <c r="E102" s="33"/>
    </row>
    <row r="103" spans="2:5" x14ac:dyDescent="0.3">
      <c r="B103" s="33"/>
      <c r="C103" s="33"/>
      <c r="D103" s="33"/>
      <c r="E103" s="33"/>
    </row>
    <row r="104" spans="2:5" x14ac:dyDescent="0.3">
      <c r="B104" s="33"/>
      <c r="C104" s="33"/>
      <c r="D104" s="33"/>
      <c r="E104" s="33"/>
    </row>
    <row r="105" spans="2:5" x14ac:dyDescent="0.3">
      <c r="B105" s="33"/>
      <c r="C105" s="33"/>
      <c r="D105" s="33"/>
      <c r="E105" s="33"/>
    </row>
    <row r="106" spans="2:5" x14ac:dyDescent="0.3">
      <c r="B106" s="33"/>
      <c r="C106" s="33"/>
      <c r="D106" s="33"/>
      <c r="E106" s="33"/>
    </row>
    <row r="107" spans="2:5" x14ac:dyDescent="0.3">
      <c r="B107" s="33"/>
      <c r="C107" s="33"/>
      <c r="D107" s="33"/>
      <c r="E107" s="33"/>
    </row>
    <row r="108" spans="2:5" x14ac:dyDescent="0.3">
      <c r="B108" s="33"/>
      <c r="C108" s="33"/>
      <c r="D108" s="33"/>
      <c r="E108" s="33"/>
    </row>
    <row r="109" spans="2:5" x14ac:dyDescent="0.3">
      <c r="B109" s="33"/>
      <c r="C109" s="33"/>
      <c r="D109" s="33"/>
      <c r="E109" s="33"/>
    </row>
    <row r="110" spans="2:5" x14ac:dyDescent="0.3">
      <c r="B110" s="33"/>
      <c r="C110" s="33"/>
      <c r="D110" s="33"/>
      <c r="E110" s="33"/>
    </row>
    <row r="111" spans="2:5" x14ac:dyDescent="0.3">
      <c r="B111" s="33"/>
      <c r="C111" s="33"/>
      <c r="D111" s="33"/>
      <c r="E111" s="33"/>
    </row>
    <row r="112" spans="2:5" x14ac:dyDescent="0.3">
      <c r="B112" s="33"/>
      <c r="C112" s="33"/>
      <c r="D112" s="33"/>
      <c r="E112" s="33"/>
    </row>
    <row r="113" spans="2:5" x14ac:dyDescent="0.3">
      <c r="B113" s="33"/>
      <c r="C113" s="33"/>
      <c r="D113" s="33"/>
      <c r="E113" s="33"/>
    </row>
    <row r="114" spans="2:5" x14ac:dyDescent="0.3">
      <c r="B114" s="33"/>
      <c r="C114" s="33"/>
      <c r="D114" s="33"/>
      <c r="E114" s="33"/>
    </row>
    <row r="115" spans="2:5" x14ac:dyDescent="0.3">
      <c r="B115" s="33"/>
      <c r="C115" s="33"/>
      <c r="D115" s="33"/>
      <c r="E115" s="33"/>
    </row>
    <row r="116" spans="2:5" x14ac:dyDescent="0.3">
      <c r="B116" s="33"/>
      <c r="C116" s="33"/>
      <c r="D116" s="33"/>
      <c r="E116" s="33"/>
    </row>
    <row r="117" spans="2:5" x14ac:dyDescent="0.3">
      <c r="B117" s="33"/>
      <c r="C117" s="33"/>
      <c r="D117" s="33"/>
      <c r="E117" s="33"/>
    </row>
    <row r="118" spans="2:5" x14ac:dyDescent="0.3">
      <c r="B118" s="33"/>
      <c r="C118" s="33"/>
      <c r="D118" s="33"/>
      <c r="E118" s="33"/>
    </row>
    <row r="119" spans="2:5" x14ac:dyDescent="0.3">
      <c r="B119" s="33"/>
      <c r="C119" s="33"/>
      <c r="D119" s="33"/>
      <c r="E119" s="33"/>
    </row>
    <row r="120" spans="2:5" x14ac:dyDescent="0.3">
      <c r="B120" s="33"/>
      <c r="C120" s="33"/>
      <c r="D120" s="33"/>
      <c r="E120" s="33"/>
    </row>
    <row r="121" spans="2:5" x14ac:dyDescent="0.3">
      <c r="B121" s="33"/>
      <c r="C121" s="33"/>
      <c r="D121" s="33"/>
      <c r="E121" s="33"/>
    </row>
    <row r="122" spans="2:5" x14ac:dyDescent="0.3">
      <c r="B122" s="33"/>
      <c r="C122" s="33"/>
      <c r="D122" s="33"/>
      <c r="E122" s="33"/>
    </row>
    <row r="123" spans="2:5" x14ac:dyDescent="0.3">
      <c r="B123" s="33"/>
      <c r="C123" s="33"/>
      <c r="D123" s="33"/>
      <c r="E123" s="33"/>
    </row>
    <row r="124" spans="2:5" x14ac:dyDescent="0.3">
      <c r="B124" s="33"/>
      <c r="C124" s="33"/>
      <c r="D124" s="33"/>
      <c r="E124" s="33"/>
    </row>
    <row r="125" spans="2:5" x14ac:dyDescent="0.3">
      <c r="B125" s="33"/>
      <c r="C125" s="33"/>
      <c r="D125" s="33"/>
      <c r="E125" s="33"/>
    </row>
    <row r="126" spans="2:5" x14ac:dyDescent="0.3">
      <c r="B126" s="33"/>
      <c r="C126" s="33"/>
      <c r="D126" s="33"/>
      <c r="E126" s="33"/>
    </row>
    <row r="127" spans="2:5" x14ac:dyDescent="0.3">
      <c r="B127" s="33"/>
      <c r="C127" s="33"/>
      <c r="D127" s="33"/>
      <c r="E127" s="33"/>
    </row>
    <row r="128" spans="2:5" x14ac:dyDescent="0.3">
      <c r="B128" s="33"/>
      <c r="C128" s="33"/>
      <c r="D128" s="33"/>
      <c r="E128" s="33"/>
    </row>
    <row r="129" spans="2:5" x14ac:dyDescent="0.3">
      <c r="B129" s="33"/>
      <c r="C129" s="33"/>
      <c r="D129" s="33"/>
      <c r="E129" s="33"/>
    </row>
    <row r="130" spans="2:5" x14ac:dyDescent="0.3">
      <c r="B130" s="33"/>
      <c r="C130" s="33"/>
      <c r="D130" s="33"/>
      <c r="E130" s="33"/>
    </row>
    <row r="131" spans="2:5" x14ac:dyDescent="0.3">
      <c r="B131" s="33"/>
      <c r="C131" s="33"/>
      <c r="D131" s="33"/>
      <c r="E131" s="33"/>
    </row>
    <row r="132" spans="2:5" x14ac:dyDescent="0.3">
      <c r="B132" s="33"/>
      <c r="C132" s="33"/>
      <c r="D132" s="33"/>
      <c r="E132" s="33"/>
    </row>
    <row r="133" spans="2:5" x14ac:dyDescent="0.3">
      <c r="B133" s="33"/>
      <c r="C133" s="33"/>
      <c r="D133" s="33"/>
      <c r="E133" s="33"/>
    </row>
    <row r="134" spans="2:5" x14ac:dyDescent="0.3">
      <c r="B134" s="33"/>
      <c r="C134" s="33"/>
      <c r="D134" s="33"/>
      <c r="E134" s="33"/>
    </row>
    <row r="135" spans="2:5" x14ac:dyDescent="0.3">
      <c r="B135" s="33"/>
      <c r="C135" s="33"/>
      <c r="D135" s="33"/>
      <c r="E135" s="33"/>
    </row>
    <row r="136" spans="2:5" x14ac:dyDescent="0.3">
      <c r="B136" s="33"/>
      <c r="C136" s="33"/>
      <c r="D136" s="33"/>
      <c r="E136" s="33"/>
    </row>
    <row r="137" spans="2:5" x14ac:dyDescent="0.3">
      <c r="B137" s="33"/>
      <c r="C137" s="33"/>
      <c r="D137" s="33"/>
      <c r="E137" s="33"/>
    </row>
    <row r="138" spans="2:5" x14ac:dyDescent="0.3">
      <c r="B138" s="33"/>
      <c r="C138" s="33"/>
      <c r="D138" s="33"/>
      <c r="E138" s="33"/>
    </row>
    <row r="139" spans="2:5" x14ac:dyDescent="0.3">
      <c r="B139" s="33"/>
      <c r="C139" s="33"/>
      <c r="D139" s="33"/>
      <c r="E139" s="33"/>
    </row>
    <row r="140" spans="2:5" x14ac:dyDescent="0.3">
      <c r="B140" s="33"/>
      <c r="C140" s="33"/>
      <c r="D140" s="33"/>
      <c r="E140" s="33"/>
    </row>
    <row r="141" spans="2:5" x14ac:dyDescent="0.3">
      <c r="B141" s="33"/>
      <c r="C141" s="33"/>
      <c r="D141" s="33"/>
      <c r="E141" s="33"/>
    </row>
    <row r="142" spans="2:5" x14ac:dyDescent="0.3">
      <c r="B142" s="33"/>
      <c r="C142" s="33"/>
      <c r="D142" s="33"/>
      <c r="E142" s="33"/>
    </row>
    <row r="143" spans="2:5" x14ac:dyDescent="0.3">
      <c r="B143" s="33"/>
      <c r="C143" s="33"/>
      <c r="D143" s="33"/>
      <c r="E143" s="33"/>
    </row>
    <row r="144" spans="2:5" x14ac:dyDescent="0.3">
      <c r="B144" s="33"/>
      <c r="C144" s="33"/>
      <c r="D144" s="33"/>
      <c r="E144" s="33"/>
    </row>
    <row r="145" spans="2:5" x14ac:dyDescent="0.3">
      <c r="B145" s="33"/>
      <c r="C145" s="33"/>
      <c r="D145" s="33"/>
      <c r="E145" s="33"/>
    </row>
    <row r="146" spans="2:5" x14ac:dyDescent="0.3">
      <c r="B146" s="33"/>
      <c r="C146" s="33"/>
      <c r="D146" s="33"/>
      <c r="E146" s="33"/>
    </row>
    <row r="147" spans="2:5" x14ac:dyDescent="0.3">
      <c r="B147" s="33"/>
      <c r="C147" s="33"/>
      <c r="D147" s="33"/>
      <c r="E147" s="33"/>
    </row>
    <row r="148" spans="2:5" x14ac:dyDescent="0.3">
      <c r="B148" s="33"/>
      <c r="C148" s="33"/>
      <c r="D148" s="33"/>
      <c r="E148" s="33"/>
    </row>
    <row r="149" spans="2:5" x14ac:dyDescent="0.3">
      <c r="B149" s="33"/>
      <c r="C149" s="33"/>
      <c r="D149" s="33"/>
      <c r="E149" s="33"/>
    </row>
    <row r="150" spans="2:5" x14ac:dyDescent="0.3">
      <c r="B150" s="33"/>
      <c r="C150" s="33"/>
      <c r="D150" s="33"/>
      <c r="E150" s="33"/>
    </row>
    <row r="151" spans="2:5" x14ac:dyDescent="0.3">
      <c r="B151" s="33"/>
      <c r="C151" s="33"/>
      <c r="D151" s="33"/>
      <c r="E151" s="33"/>
    </row>
    <row r="152" spans="2:5" x14ac:dyDescent="0.3">
      <c r="B152" s="33"/>
      <c r="C152" s="33"/>
      <c r="D152" s="33"/>
      <c r="E152" s="33"/>
    </row>
    <row r="153" spans="2:5" x14ac:dyDescent="0.3">
      <c r="B153" s="33"/>
      <c r="C153" s="33"/>
      <c r="D153" s="33"/>
      <c r="E153" s="33"/>
    </row>
    <row r="154" spans="2:5" x14ac:dyDescent="0.3">
      <c r="B154" s="33"/>
      <c r="C154" s="33"/>
      <c r="D154" s="33"/>
      <c r="E154" s="33"/>
    </row>
    <row r="155" spans="2:5" x14ac:dyDescent="0.3">
      <c r="B155" s="33"/>
      <c r="C155" s="33"/>
      <c r="D155" s="33"/>
      <c r="E155" s="33"/>
    </row>
    <row r="156" spans="2:5" x14ac:dyDescent="0.3">
      <c r="B156" s="33"/>
      <c r="C156" s="33"/>
      <c r="D156" s="33"/>
      <c r="E156" s="33"/>
    </row>
    <row r="157" spans="2:5" x14ac:dyDescent="0.3">
      <c r="B157" s="33"/>
      <c r="C157" s="33"/>
      <c r="D157" s="33"/>
      <c r="E157" s="33"/>
    </row>
    <row r="158" spans="2:5" x14ac:dyDescent="0.3">
      <c r="B158" s="33"/>
      <c r="C158" s="33"/>
      <c r="D158" s="33"/>
      <c r="E158" s="33"/>
    </row>
    <row r="159" spans="2:5" x14ac:dyDescent="0.3">
      <c r="B159" s="33"/>
      <c r="C159" s="33"/>
      <c r="D159" s="33"/>
      <c r="E159" s="33"/>
    </row>
    <row r="160" spans="2:5" x14ac:dyDescent="0.3">
      <c r="B160" s="33"/>
      <c r="C160" s="33"/>
      <c r="D160" s="33"/>
      <c r="E160" s="33"/>
    </row>
    <row r="161" spans="2:5" x14ac:dyDescent="0.3">
      <c r="B161" s="33"/>
      <c r="C161" s="33"/>
      <c r="D161" s="33"/>
      <c r="E161" s="33"/>
    </row>
    <row r="162" spans="2:5" x14ac:dyDescent="0.3">
      <c r="B162" s="33"/>
      <c r="C162" s="33"/>
      <c r="D162" s="33"/>
      <c r="E162" s="33"/>
    </row>
    <row r="163" spans="2:5" x14ac:dyDescent="0.3">
      <c r="B163" s="33"/>
      <c r="C163" s="33"/>
      <c r="D163" s="33"/>
      <c r="E163" s="33"/>
    </row>
    <row r="164" spans="2:5" x14ac:dyDescent="0.3">
      <c r="B164" s="33"/>
      <c r="C164" s="33"/>
      <c r="D164" s="33"/>
      <c r="E164" s="33"/>
    </row>
    <row r="165" spans="2:5" x14ac:dyDescent="0.3">
      <c r="B165" s="33"/>
      <c r="C165" s="33"/>
      <c r="D165" s="33"/>
      <c r="E165" s="33"/>
    </row>
    <row r="166" spans="2:5" x14ac:dyDescent="0.3">
      <c r="B166" s="33"/>
      <c r="C166" s="33"/>
      <c r="D166" s="33"/>
      <c r="E166" s="33"/>
    </row>
    <row r="167" spans="2:5" x14ac:dyDescent="0.3">
      <c r="B167" s="33"/>
      <c r="C167" s="33"/>
      <c r="D167" s="33"/>
      <c r="E167" s="33"/>
    </row>
    <row r="168" spans="2:5" x14ac:dyDescent="0.3">
      <c r="B168" s="33"/>
      <c r="C168" s="33"/>
      <c r="D168" s="33"/>
      <c r="E168" s="33"/>
    </row>
    <row r="169" spans="2:5" x14ac:dyDescent="0.3">
      <c r="B169" s="33"/>
      <c r="C169" s="33"/>
      <c r="D169" s="33"/>
      <c r="E169" s="33"/>
    </row>
    <row r="170" spans="2:5" x14ac:dyDescent="0.3">
      <c r="B170" s="33"/>
      <c r="C170" s="33"/>
      <c r="D170" s="33"/>
      <c r="E170" s="33"/>
    </row>
    <row r="171" spans="2:5" x14ac:dyDescent="0.3">
      <c r="B171" s="33"/>
      <c r="C171" s="33"/>
      <c r="D171" s="33"/>
      <c r="E171" s="33"/>
    </row>
    <row r="172" spans="2:5" x14ac:dyDescent="0.3">
      <c r="B172" s="33"/>
      <c r="E172" s="35"/>
    </row>
    <row r="173" spans="2:5" x14ac:dyDescent="0.3">
      <c r="B173" s="33"/>
    </row>
    <row r="174" spans="2:5" x14ac:dyDescent="0.3">
      <c r="B174" s="33"/>
    </row>
    <row r="175" spans="2:5" x14ac:dyDescent="0.3">
      <c r="B175" s="33"/>
    </row>
    <row r="176" spans="2:5" x14ac:dyDescent="0.3">
      <c r="B176" s="33"/>
    </row>
    <row r="177" spans="2:2" x14ac:dyDescent="0.3">
      <c r="B177" s="33"/>
    </row>
    <row r="178" spans="2:2" x14ac:dyDescent="0.3">
      <c r="B178" s="33"/>
    </row>
    <row r="179" spans="2:2" x14ac:dyDescent="0.3">
      <c r="B179" s="33"/>
    </row>
    <row r="180" spans="2:2" x14ac:dyDescent="0.3">
      <c r="B180" s="33"/>
    </row>
    <row r="181" spans="2:2" x14ac:dyDescent="0.3">
      <c r="B181" s="33"/>
    </row>
    <row r="182" spans="2:2" x14ac:dyDescent="0.3">
      <c r="B182" s="33"/>
    </row>
    <row r="183" spans="2:2" x14ac:dyDescent="0.3">
      <c r="B183" s="33"/>
    </row>
    <row r="184" spans="2:2" x14ac:dyDescent="0.3">
      <c r="B184" s="33"/>
    </row>
    <row r="185" spans="2:2" x14ac:dyDescent="0.3">
      <c r="B185" s="33"/>
    </row>
    <row r="186" spans="2:2" x14ac:dyDescent="0.3">
      <c r="B186" s="33"/>
    </row>
    <row r="187" spans="2:2" x14ac:dyDescent="0.3">
      <c r="B187" s="33"/>
    </row>
    <row r="188" spans="2:2" x14ac:dyDescent="0.3">
      <c r="B188" s="33"/>
    </row>
    <row r="189" spans="2:2" x14ac:dyDescent="0.3">
      <c r="B189" s="33"/>
    </row>
    <row r="190" spans="2:2" x14ac:dyDescent="0.3">
      <c r="B190" s="33"/>
    </row>
    <row r="191" spans="2:2" x14ac:dyDescent="0.3">
      <c r="B191" s="33"/>
    </row>
    <row r="192" spans="2:2" x14ac:dyDescent="0.3">
      <c r="B192" s="33"/>
    </row>
    <row r="193" spans="2:2" x14ac:dyDescent="0.3">
      <c r="B193" s="33"/>
    </row>
    <row r="194" spans="2:2" x14ac:dyDescent="0.3">
      <c r="B194" s="33"/>
    </row>
    <row r="195" spans="2:2" x14ac:dyDescent="0.3">
      <c r="B195" s="33"/>
    </row>
    <row r="196" spans="2:2" x14ac:dyDescent="0.3">
      <c r="B196" s="33"/>
    </row>
    <row r="197" spans="2:2" x14ac:dyDescent="0.3">
      <c r="B197" s="33"/>
    </row>
    <row r="198" spans="2:2" x14ac:dyDescent="0.3">
      <c r="B198" s="33"/>
    </row>
    <row r="199" spans="2:2" x14ac:dyDescent="0.3">
      <c r="B199" s="33"/>
    </row>
    <row r="200" spans="2:2" x14ac:dyDescent="0.3">
      <c r="B200" s="33"/>
    </row>
    <row r="201" spans="2:2" x14ac:dyDescent="0.3">
      <c r="B201" s="33"/>
    </row>
    <row r="202" spans="2:2" x14ac:dyDescent="0.3">
      <c r="B202" s="33"/>
    </row>
    <row r="203" spans="2:2" x14ac:dyDescent="0.3">
      <c r="B203" s="33"/>
    </row>
    <row r="204" spans="2:2" x14ac:dyDescent="0.3">
      <c r="B204" s="33"/>
    </row>
    <row r="205" spans="2:2" x14ac:dyDescent="0.3">
      <c r="B205" s="33"/>
    </row>
    <row r="206" spans="2:2" x14ac:dyDescent="0.3">
      <c r="B206" s="33"/>
    </row>
    <row r="207" spans="2:2" x14ac:dyDescent="0.3">
      <c r="B207" s="33"/>
    </row>
    <row r="208" spans="2:2" x14ac:dyDescent="0.3">
      <c r="B208" s="33"/>
    </row>
    <row r="209" spans="2:2" x14ac:dyDescent="0.3">
      <c r="B209" s="33"/>
    </row>
    <row r="210" spans="2:2" x14ac:dyDescent="0.3">
      <c r="B210" s="33"/>
    </row>
    <row r="211" spans="2:2" x14ac:dyDescent="0.3">
      <c r="B211" s="33"/>
    </row>
    <row r="212" spans="2:2" x14ac:dyDescent="0.3">
      <c r="B212" s="33"/>
    </row>
    <row r="213" spans="2:2" x14ac:dyDescent="0.3">
      <c r="B213" s="33"/>
    </row>
    <row r="214" spans="2:2" x14ac:dyDescent="0.3">
      <c r="B214" s="33"/>
    </row>
    <row r="215" spans="2:2" x14ac:dyDescent="0.3">
      <c r="B215" s="33"/>
    </row>
    <row r="216" spans="2:2" x14ac:dyDescent="0.3">
      <c r="B216" s="33"/>
    </row>
    <row r="217" spans="2:2" x14ac:dyDescent="0.3">
      <c r="B217" s="33"/>
    </row>
    <row r="218" spans="2:2" x14ac:dyDescent="0.3">
      <c r="B218" s="33"/>
    </row>
    <row r="219" spans="2:2" x14ac:dyDescent="0.3">
      <c r="B219" s="33"/>
    </row>
    <row r="220" spans="2:2" x14ac:dyDescent="0.3">
      <c r="B220" s="33"/>
    </row>
    <row r="221" spans="2:2" x14ac:dyDescent="0.3">
      <c r="B221" s="33"/>
    </row>
    <row r="222" spans="2:2" x14ac:dyDescent="0.3">
      <c r="B222" s="33"/>
    </row>
    <row r="223" spans="2:2" x14ac:dyDescent="0.3">
      <c r="B223" s="33"/>
    </row>
    <row r="224" spans="2:2" x14ac:dyDescent="0.3">
      <c r="B224" s="33"/>
    </row>
    <row r="225" spans="2:2" x14ac:dyDescent="0.3">
      <c r="B225" s="33"/>
    </row>
    <row r="226" spans="2:2" x14ac:dyDescent="0.3">
      <c r="B226" s="33"/>
    </row>
    <row r="227" spans="2:2" x14ac:dyDescent="0.3">
      <c r="B227" s="33"/>
    </row>
    <row r="228" spans="2:2" x14ac:dyDescent="0.3">
      <c r="B228" s="33"/>
    </row>
    <row r="229" spans="2:2" x14ac:dyDescent="0.3">
      <c r="B229" s="33"/>
    </row>
    <row r="230" spans="2:2" x14ac:dyDescent="0.3">
      <c r="B230" s="33"/>
    </row>
    <row r="231" spans="2:2" x14ac:dyDescent="0.3">
      <c r="B231" s="33"/>
    </row>
    <row r="232" spans="2:2" x14ac:dyDescent="0.3">
      <c r="B232" s="33"/>
    </row>
    <row r="233" spans="2:2" x14ac:dyDescent="0.3">
      <c r="B233" s="33"/>
    </row>
    <row r="234" spans="2:2" x14ac:dyDescent="0.3">
      <c r="B234" s="33"/>
    </row>
    <row r="235" spans="2:2" x14ac:dyDescent="0.3">
      <c r="B235" s="33"/>
    </row>
    <row r="236" spans="2:2" x14ac:dyDescent="0.3">
      <c r="B236" s="33"/>
    </row>
    <row r="237" spans="2:2" x14ac:dyDescent="0.3">
      <c r="B237" s="33"/>
    </row>
    <row r="238" spans="2:2" x14ac:dyDescent="0.3">
      <c r="B238" s="33"/>
    </row>
    <row r="239" spans="2:2" x14ac:dyDescent="0.3">
      <c r="B239" s="33"/>
    </row>
    <row r="240" spans="2:2" x14ac:dyDescent="0.3">
      <c r="B240" s="33"/>
    </row>
    <row r="241" spans="2:2" x14ac:dyDescent="0.3">
      <c r="B241" s="33"/>
    </row>
    <row r="242" spans="2:2" x14ac:dyDescent="0.3">
      <c r="B242" s="33"/>
    </row>
    <row r="243" spans="2:2" x14ac:dyDescent="0.3">
      <c r="B243" s="33"/>
    </row>
    <row r="244" spans="2:2" x14ac:dyDescent="0.3">
      <c r="B244" s="33"/>
    </row>
    <row r="245" spans="2:2" x14ac:dyDescent="0.3">
      <c r="B245" s="33"/>
    </row>
    <row r="246" spans="2:2" x14ac:dyDescent="0.3">
      <c r="B246" s="33"/>
    </row>
    <row r="247" spans="2:2" x14ac:dyDescent="0.3">
      <c r="B247" s="33"/>
    </row>
    <row r="248" spans="2:2" x14ac:dyDescent="0.3">
      <c r="B248" s="33"/>
    </row>
    <row r="249" spans="2:2" x14ac:dyDescent="0.3">
      <c r="B249" s="33"/>
    </row>
    <row r="250" spans="2:2" x14ac:dyDescent="0.3">
      <c r="B250" s="33"/>
    </row>
    <row r="251" spans="2:2" x14ac:dyDescent="0.3">
      <c r="B251" s="33"/>
    </row>
    <row r="252" spans="2:2" x14ac:dyDescent="0.3">
      <c r="B252" s="33"/>
    </row>
    <row r="253" spans="2:2" x14ac:dyDescent="0.3">
      <c r="B253" s="33"/>
    </row>
    <row r="254" spans="2:2" x14ac:dyDescent="0.3">
      <c r="B254" s="33"/>
    </row>
    <row r="255" spans="2:2" x14ac:dyDescent="0.3">
      <c r="B255" s="33"/>
    </row>
    <row r="256" spans="2:2" x14ac:dyDescent="0.3">
      <c r="B256" s="33"/>
    </row>
    <row r="257" spans="2:2" x14ac:dyDescent="0.3">
      <c r="B257" s="33"/>
    </row>
    <row r="258" spans="2:2" x14ac:dyDescent="0.3">
      <c r="B258" s="33"/>
    </row>
    <row r="259" spans="2:2" x14ac:dyDescent="0.3">
      <c r="B259" s="33"/>
    </row>
    <row r="260" spans="2:2" x14ac:dyDescent="0.3">
      <c r="B260" s="33"/>
    </row>
    <row r="261" spans="2:2" x14ac:dyDescent="0.3">
      <c r="B261" s="33"/>
    </row>
    <row r="262" spans="2:2" x14ac:dyDescent="0.3">
      <c r="B262" s="33"/>
    </row>
    <row r="263" spans="2:2" x14ac:dyDescent="0.3">
      <c r="B263" s="33"/>
    </row>
    <row r="264" spans="2:2" x14ac:dyDescent="0.3">
      <c r="B264" s="33"/>
    </row>
    <row r="265" spans="2:2" x14ac:dyDescent="0.3">
      <c r="B265" s="33"/>
    </row>
    <row r="266" spans="2:2" x14ac:dyDescent="0.3">
      <c r="B266" s="33"/>
    </row>
    <row r="267" spans="2:2" x14ac:dyDescent="0.3">
      <c r="B267" s="33"/>
    </row>
    <row r="268" spans="2:2" x14ac:dyDescent="0.3">
      <c r="B268" s="33"/>
    </row>
    <row r="269" spans="2:2" x14ac:dyDescent="0.3">
      <c r="B269" s="33"/>
    </row>
    <row r="270" spans="2:2" x14ac:dyDescent="0.3">
      <c r="B270" s="33"/>
    </row>
    <row r="271" spans="2:2" x14ac:dyDescent="0.3">
      <c r="B271" s="33"/>
    </row>
    <row r="272" spans="2:2" x14ac:dyDescent="0.3">
      <c r="B272" s="33"/>
    </row>
    <row r="273" spans="2:2" x14ac:dyDescent="0.3">
      <c r="B273" s="33"/>
    </row>
    <row r="274" spans="2:2" x14ac:dyDescent="0.3">
      <c r="B274" s="33"/>
    </row>
    <row r="275" spans="2:2" x14ac:dyDescent="0.3">
      <c r="B275" s="33"/>
    </row>
    <row r="276" spans="2:2" x14ac:dyDescent="0.3">
      <c r="B276" s="33"/>
    </row>
    <row r="277" spans="2:2" x14ac:dyDescent="0.3">
      <c r="B277" s="33"/>
    </row>
    <row r="278" spans="2:2" x14ac:dyDescent="0.3">
      <c r="B278" s="33"/>
    </row>
    <row r="279" spans="2:2" x14ac:dyDescent="0.3">
      <c r="B279" s="33"/>
    </row>
    <row r="280" spans="2:2" x14ac:dyDescent="0.3">
      <c r="B280" s="33"/>
    </row>
    <row r="281" spans="2:2" x14ac:dyDescent="0.3">
      <c r="B281" s="33"/>
    </row>
    <row r="282" spans="2:2" x14ac:dyDescent="0.3">
      <c r="B282" s="33"/>
    </row>
    <row r="283" spans="2:2" x14ac:dyDescent="0.3">
      <c r="B283" s="33"/>
    </row>
    <row r="284" spans="2:2" x14ac:dyDescent="0.3">
      <c r="B284" s="33"/>
    </row>
    <row r="285" spans="2:2" x14ac:dyDescent="0.3">
      <c r="B285" s="33"/>
    </row>
    <row r="286" spans="2:2" x14ac:dyDescent="0.3">
      <c r="B286" s="33"/>
    </row>
    <row r="287" spans="2:2" x14ac:dyDescent="0.3">
      <c r="B287" s="33"/>
    </row>
    <row r="288" spans="2:2" x14ac:dyDescent="0.3">
      <c r="B288" s="33"/>
    </row>
    <row r="289" spans="2:2" x14ac:dyDescent="0.3">
      <c r="B289" s="33"/>
    </row>
    <row r="290" spans="2:2" x14ac:dyDescent="0.3">
      <c r="B290" s="33"/>
    </row>
    <row r="291" spans="2:2" x14ac:dyDescent="0.3">
      <c r="B291" s="33"/>
    </row>
    <row r="292" spans="2:2" x14ac:dyDescent="0.3">
      <c r="B292" s="33"/>
    </row>
    <row r="293" spans="2:2" x14ac:dyDescent="0.3">
      <c r="B293" s="33"/>
    </row>
    <row r="294" spans="2:2" x14ac:dyDescent="0.3">
      <c r="B294" s="33"/>
    </row>
    <row r="295" spans="2:2" x14ac:dyDescent="0.3">
      <c r="B295" s="33"/>
    </row>
    <row r="296" spans="2:2" x14ac:dyDescent="0.3">
      <c r="B296" s="33"/>
    </row>
    <row r="297" spans="2:2" x14ac:dyDescent="0.3">
      <c r="B297" s="33"/>
    </row>
    <row r="298" spans="2:2" x14ac:dyDescent="0.3">
      <c r="B298" s="33"/>
    </row>
    <row r="299" spans="2:2" x14ac:dyDescent="0.3">
      <c r="B299" s="33"/>
    </row>
    <row r="300" spans="2:2" x14ac:dyDescent="0.3">
      <c r="B300" s="33"/>
    </row>
    <row r="301" spans="2:2" x14ac:dyDescent="0.3">
      <c r="B301" s="33"/>
    </row>
    <row r="302" spans="2:2" x14ac:dyDescent="0.3">
      <c r="B302" s="33"/>
    </row>
    <row r="303" spans="2:2" x14ac:dyDescent="0.3">
      <c r="B303" s="33"/>
    </row>
    <row r="304" spans="2:2" x14ac:dyDescent="0.3">
      <c r="B304" s="33"/>
    </row>
    <row r="305" spans="2:2" x14ac:dyDescent="0.3">
      <c r="B305" s="33"/>
    </row>
    <row r="306" spans="2:2" x14ac:dyDescent="0.3">
      <c r="B306" s="33"/>
    </row>
    <row r="307" spans="2:2" x14ac:dyDescent="0.3">
      <c r="B307" s="33"/>
    </row>
    <row r="308" spans="2:2" x14ac:dyDescent="0.3">
      <c r="B308" s="33"/>
    </row>
    <row r="309" spans="2:2" x14ac:dyDescent="0.3">
      <c r="B309" s="33"/>
    </row>
    <row r="310" spans="2:2" x14ac:dyDescent="0.3">
      <c r="B310" s="33"/>
    </row>
    <row r="311" spans="2:2" x14ac:dyDescent="0.3">
      <c r="B311" s="33"/>
    </row>
    <row r="312" spans="2:2" x14ac:dyDescent="0.3">
      <c r="B312" s="33"/>
    </row>
    <row r="313" spans="2:2" x14ac:dyDescent="0.3">
      <c r="B313" s="33"/>
    </row>
    <row r="314" spans="2:2" x14ac:dyDescent="0.3">
      <c r="B314" s="33"/>
    </row>
    <row r="315" spans="2:2" x14ac:dyDescent="0.3">
      <c r="B315" s="33"/>
    </row>
    <row r="316" spans="2:2" x14ac:dyDescent="0.3">
      <c r="B316" s="33"/>
    </row>
    <row r="317" spans="2:2" x14ac:dyDescent="0.3">
      <c r="B317" s="33"/>
    </row>
    <row r="318" spans="2:2" x14ac:dyDescent="0.3">
      <c r="B318" s="33"/>
    </row>
    <row r="319" spans="2:2" x14ac:dyDescent="0.3">
      <c r="B319" s="33"/>
    </row>
    <row r="320" spans="2:2" x14ac:dyDescent="0.3">
      <c r="B320" s="33"/>
    </row>
    <row r="321" spans="2:2" x14ac:dyDescent="0.3">
      <c r="B321" s="33"/>
    </row>
    <row r="322" spans="2:2" x14ac:dyDescent="0.3">
      <c r="B322" s="33"/>
    </row>
    <row r="323" spans="2:2" x14ac:dyDescent="0.3">
      <c r="B323" s="33"/>
    </row>
    <row r="324" spans="2:2" x14ac:dyDescent="0.3">
      <c r="B324" s="33"/>
    </row>
    <row r="325" spans="2:2" x14ac:dyDescent="0.3">
      <c r="B325" s="33"/>
    </row>
    <row r="326" spans="2:2" x14ac:dyDescent="0.3">
      <c r="B326" s="33"/>
    </row>
    <row r="327" spans="2:2" x14ac:dyDescent="0.3">
      <c r="B327" s="33"/>
    </row>
    <row r="328" spans="2:2" x14ac:dyDescent="0.3">
      <c r="B328" s="33"/>
    </row>
    <row r="329" spans="2:2" x14ac:dyDescent="0.3">
      <c r="B329" s="33"/>
    </row>
    <row r="330" spans="2:2" x14ac:dyDescent="0.3">
      <c r="B330" s="33"/>
    </row>
    <row r="331" spans="2:2" x14ac:dyDescent="0.3">
      <c r="B331" s="33"/>
    </row>
    <row r="332" spans="2:2" x14ac:dyDescent="0.3">
      <c r="B332" s="33"/>
    </row>
    <row r="333" spans="2:2" x14ac:dyDescent="0.3">
      <c r="B333" s="33"/>
    </row>
    <row r="334" spans="2:2" x14ac:dyDescent="0.3">
      <c r="B334" s="33"/>
    </row>
    <row r="335" spans="2:2" x14ac:dyDescent="0.3">
      <c r="B335" s="33"/>
    </row>
    <row r="336" spans="2:2" x14ac:dyDescent="0.3">
      <c r="B336" s="33"/>
    </row>
    <row r="337" spans="2:2" x14ac:dyDescent="0.3">
      <c r="B337" s="33"/>
    </row>
    <row r="338" spans="2:2" x14ac:dyDescent="0.3">
      <c r="B338" s="33"/>
    </row>
    <row r="339" spans="2:2" x14ac:dyDescent="0.3">
      <c r="B339" s="33"/>
    </row>
    <row r="340" spans="2:2" x14ac:dyDescent="0.3">
      <c r="B340" s="33"/>
    </row>
    <row r="341" spans="2:2" x14ac:dyDescent="0.3">
      <c r="B341" s="33"/>
    </row>
    <row r="342" spans="2:2" x14ac:dyDescent="0.3">
      <c r="B342" s="33"/>
    </row>
    <row r="343" spans="2:2" x14ac:dyDescent="0.3">
      <c r="B343" s="33"/>
    </row>
    <row r="344" spans="2:2" x14ac:dyDescent="0.3">
      <c r="B344" s="33"/>
    </row>
    <row r="345" spans="2:2" x14ac:dyDescent="0.3">
      <c r="B345" s="33"/>
    </row>
    <row r="346" spans="2:2" x14ac:dyDescent="0.3">
      <c r="B346" s="33"/>
    </row>
    <row r="347" spans="2:2" x14ac:dyDescent="0.3">
      <c r="B347" s="33"/>
    </row>
    <row r="348" spans="2:2" x14ac:dyDescent="0.3">
      <c r="B348" s="33"/>
    </row>
    <row r="349" spans="2:2" x14ac:dyDescent="0.3">
      <c r="B349" s="33"/>
    </row>
    <row r="350" spans="2:2" x14ac:dyDescent="0.3">
      <c r="B350" s="33"/>
    </row>
    <row r="351" spans="2:2" x14ac:dyDescent="0.3">
      <c r="B351" s="33"/>
    </row>
    <row r="352" spans="2:2" x14ac:dyDescent="0.3">
      <c r="B352" s="33"/>
    </row>
    <row r="353" spans="2:2" x14ac:dyDescent="0.3">
      <c r="B353" s="33"/>
    </row>
    <row r="354" spans="2:2" x14ac:dyDescent="0.3">
      <c r="B354" s="33"/>
    </row>
    <row r="355" spans="2:2" x14ac:dyDescent="0.3">
      <c r="B355" s="33"/>
    </row>
    <row r="356" spans="2:2" x14ac:dyDescent="0.3">
      <c r="B356" s="33"/>
    </row>
    <row r="357" spans="2:2" x14ac:dyDescent="0.3">
      <c r="B357" s="33"/>
    </row>
    <row r="358" spans="2:2" x14ac:dyDescent="0.3">
      <c r="B358" s="33"/>
    </row>
    <row r="359" spans="2:2" x14ac:dyDescent="0.3">
      <c r="B359" s="33"/>
    </row>
    <row r="360" spans="2:2" x14ac:dyDescent="0.3">
      <c r="B360" s="33"/>
    </row>
    <row r="361" spans="2:2" x14ac:dyDescent="0.3">
      <c r="B361" s="33"/>
    </row>
    <row r="362" spans="2:2" x14ac:dyDescent="0.3">
      <c r="B362" s="33"/>
    </row>
    <row r="363" spans="2:2" x14ac:dyDescent="0.3">
      <c r="B363" s="33"/>
    </row>
    <row r="364" spans="2:2" x14ac:dyDescent="0.3">
      <c r="B364" s="33"/>
    </row>
  </sheetData>
  <pageMargins left="0.2" right="0.39" top="0.73" bottom="4.51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sqref="A1:E64"/>
    </sheetView>
  </sheetViews>
  <sheetFormatPr defaultRowHeight="14.4" x14ac:dyDescent="0.3"/>
  <cols>
    <col min="1" max="1" width="7.5546875" bestFit="1" customWidth="1"/>
    <col min="2" max="2" width="33.5546875" customWidth="1"/>
    <col min="3" max="3" width="10.109375" customWidth="1"/>
    <col min="4" max="4" width="8.33203125" customWidth="1"/>
    <col min="5" max="5" width="17.109375" style="41" bestFit="1" customWidth="1"/>
  </cols>
  <sheetData>
    <row r="1" spans="1:5" ht="28.5" x14ac:dyDescent="0.25">
      <c r="A1" s="101">
        <v>4</v>
      </c>
      <c r="B1" s="101"/>
      <c r="C1" s="101"/>
      <c r="D1" s="101"/>
      <c r="E1" s="101"/>
    </row>
    <row r="2" spans="1:5" ht="26.25" x14ac:dyDescent="0.25">
      <c r="A2" s="102" t="s">
        <v>63</v>
      </c>
      <c r="B2" s="102"/>
      <c r="C2" s="102"/>
      <c r="D2" s="102"/>
      <c r="E2" s="102"/>
    </row>
    <row r="3" spans="1:5" ht="21" x14ac:dyDescent="0.25">
      <c r="A3" s="107" t="s">
        <v>84</v>
      </c>
      <c r="B3" s="108"/>
      <c r="C3" s="108"/>
      <c r="D3" s="109"/>
      <c r="E3" s="38"/>
    </row>
    <row r="4" spans="1:5" ht="45" x14ac:dyDescent="0.25">
      <c r="A4" s="19" t="s">
        <v>1</v>
      </c>
      <c r="B4" s="4" t="s">
        <v>2</v>
      </c>
      <c r="C4" s="3" t="s">
        <v>3</v>
      </c>
      <c r="D4" s="3" t="s">
        <v>4</v>
      </c>
      <c r="E4" s="39" t="s">
        <v>73</v>
      </c>
    </row>
    <row r="5" spans="1:5" ht="18.75" x14ac:dyDescent="0.25">
      <c r="A5" s="10">
        <v>1</v>
      </c>
      <c r="B5" s="11" t="s">
        <v>5</v>
      </c>
      <c r="C5" s="12">
        <v>23</v>
      </c>
      <c r="D5" s="12">
        <v>21</v>
      </c>
      <c r="E5" s="37">
        <f>D5*100/C5</f>
        <v>91.304347826086953</v>
      </c>
    </row>
    <row r="6" spans="1:5" ht="18.75" x14ac:dyDescent="0.25">
      <c r="A6" s="2">
        <v>2</v>
      </c>
      <c r="B6" s="7" t="s">
        <v>6</v>
      </c>
      <c r="C6" s="12">
        <v>23</v>
      </c>
      <c r="D6" s="12">
        <v>21</v>
      </c>
      <c r="E6" s="37">
        <f t="shared" ref="E6:E64" si="0">D6*100/C6</f>
        <v>91.304347826086953</v>
      </c>
    </row>
    <row r="7" spans="1:5" ht="18.75" x14ac:dyDescent="0.25">
      <c r="A7" s="2">
        <v>3</v>
      </c>
      <c r="B7" s="7" t="s">
        <v>7</v>
      </c>
      <c r="C7" s="12">
        <v>23</v>
      </c>
      <c r="D7" s="12">
        <v>10</v>
      </c>
      <c r="E7" s="42">
        <f t="shared" si="0"/>
        <v>43.478260869565219</v>
      </c>
    </row>
    <row r="8" spans="1:5" ht="18.75" x14ac:dyDescent="0.25">
      <c r="A8" s="2">
        <v>4</v>
      </c>
      <c r="B8" s="7" t="s">
        <v>8</v>
      </c>
      <c r="C8" s="12">
        <v>23</v>
      </c>
      <c r="D8" s="12">
        <v>17</v>
      </c>
      <c r="E8" s="42">
        <f t="shared" si="0"/>
        <v>73.913043478260875</v>
      </c>
    </row>
    <row r="9" spans="1:5" ht="18.75" x14ac:dyDescent="0.25">
      <c r="A9" s="2">
        <v>5</v>
      </c>
      <c r="B9" s="7" t="s">
        <v>9</v>
      </c>
      <c r="C9" s="12">
        <v>23</v>
      </c>
      <c r="D9" s="12">
        <v>19</v>
      </c>
      <c r="E9" s="37">
        <f t="shared" si="0"/>
        <v>82.608695652173907</v>
      </c>
    </row>
    <row r="10" spans="1:5" ht="18.75" x14ac:dyDescent="0.25">
      <c r="A10" s="2">
        <v>6</v>
      </c>
      <c r="B10" s="7" t="s">
        <v>10</v>
      </c>
      <c r="C10" s="12">
        <v>23</v>
      </c>
      <c r="D10" s="12">
        <v>0</v>
      </c>
      <c r="E10" s="42">
        <f t="shared" si="0"/>
        <v>0</v>
      </c>
    </row>
    <row r="11" spans="1:5" ht="18.75" x14ac:dyDescent="0.25">
      <c r="A11" s="2">
        <v>7</v>
      </c>
      <c r="B11" s="7" t="s">
        <v>11</v>
      </c>
      <c r="C11" s="12">
        <v>23</v>
      </c>
      <c r="D11" s="12">
        <v>20</v>
      </c>
      <c r="E11" s="40">
        <f t="shared" si="0"/>
        <v>86.956521739130437</v>
      </c>
    </row>
    <row r="12" spans="1:5" ht="18.75" x14ac:dyDescent="0.25">
      <c r="A12" s="2">
        <v>8</v>
      </c>
      <c r="B12" s="7" t="s">
        <v>12</v>
      </c>
      <c r="C12" s="12">
        <v>23</v>
      </c>
      <c r="D12" s="12">
        <v>20</v>
      </c>
      <c r="E12" s="37">
        <f t="shared" si="0"/>
        <v>86.956521739130437</v>
      </c>
    </row>
    <row r="13" spans="1:5" ht="18.75" x14ac:dyDescent="0.25">
      <c r="A13" s="2">
        <v>9</v>
      </c>
      <c r="B13" s="7" t="s">
        <v>13</v>
      </c>
      <c r="C13" s="12">
        <v>23</v>
      </c>
      <c r="D13" s="12">
        <v>15</v>
      </c>
      <c r="E13" s="42">
        <f t="shared" si="0"/>
        <v>65.217391304347828</v>
      </c>
    </row>
    <row r="14" spans="1:5" ht="18.75" x14ac:dyDescent="0.25">
      <c r="A14" s="2">
        <v>10</v>
      </c>
      <c r="B14" s="7" t="s">
        <v>14</v>
      </c>
      <c r="C14" s="12">
        <v>23</v>
      </c>
      <c r="D14" s="12">
        <v>19</v>
      </c>
      <c r="E14" s="37">
        <f t="shared" si="0"/>
        <v>82.608695652173907</v>
      </c>
    </row>
    <row r="15" spans="1:5" ht="18.75" x14ac:dyDescent="0.25">
      <c r="A15" s="2">
        <v>11</v>
      </c>
      <c r="B15" s="7" t="s">
        <v>15</v>
      </c>
      <c r="C15" s="12">
        <v>23</v>
      </c>
      <c r="D15" s="12">
        <v>18</v>
      </c>
      <c r="E15" s="37">
        <f t="shared" si="0"/>
        <v>78.260869565217391</v>
      </c>
    </row>
    <row r="16" spans="1:5" ht="18.75" x14ac:dyDescent="0.25">
      <c r="A16" s="2">
        <v>12</v>
      </c>
      <c r="B16" s="7" t="s">
        <v>16</v>
      </c>
      <c r="C16" s="12">
        <v>23</v>
      </c>
      <c r="D16" s="12">
        <v>1</v>
      </c>
      <c r="E16" s="42">
        <f t="shared" si="0"/>
        <v>4.3478260869565215</v>
      </c>
    </row>
    <row r="17" spans="1:5" ht="18.75" x14ac:dyDescent="0.25">
      <c r="A17" s="2">
        <v>13</v>
      </c>
      <c r="B17" s="7" t="s">
        <v>17</v>
      </c>
      <c r="C17" s="12">
        <v>23</v>
      </c>
      <c r="D17" s="12">
        <v>18</v>
      </c>
      <c r="E17" s="37">
        <f t="shared" si="0"/>
        <v>78.260869565217391</v>
      </c>
    </row>
    <row r="18" spans="1:5" ht="18.75" x14ac:dyDescent="0.25">
      <c r="A18" s="2">
        <v>14</v>
      </c>
      <c r="B18" s="7" t="s">
        <v>18</v>
      </c>
      <c r="C18" s="12">
        <v>23</v>
      </c>
      <c r="D18" s="12">
        <v>22</v>
      </c>
      <c r="E18" s="37">
        <f t="shared" si="0"/>
        <v>95.652173913043484</v>
      </c>
    </row>
    <row r="19" spans="1:5" ht="18.75" x14ac:dyDescent="0.25">
      <c r="A19" s="2">
        <v>15</v>
      </c>
      <c r="B19" s="7" t="s">
        <v>19</v>
      </c>
      <c r="C19" s="12">
        <v>23</v>
      </c>
      <c r="D19" s="12">
        <v>17</v>
      </c>
      <c r="E19" s="42">
        <f t="shared" si="0"/>
        <v>73.913043478260875</v>
      </c>
    </row>
    <row r="20" spans="1:5" ht="18.75" x14ac:dyDescent="0.25">
      <c r="A20" s="2">
        <v>16</v>
      </c>
      <c r="B20" s="7" t="s">
        <v>71</v>
      </c>
      <c r="C20" s="12">
        <v>23</v>
      </c>
      <c r="D20" s="12">
        <v>19</v>
      </c>
      <c r="E20" s="37">
        <f t="shared" si="0"/>
        <v>82.608695652173907</v>
      </c>
    </row>
    <row r="21" spans="1:5" ht="18.75" x14ac:dyDescent="0.25">
      <c r="A21" s="2">
        <v>17</v>
      </c>
      <c r="B21" s="7" t="s">
        <v>20</v>
      </c>
      <c r="C21" s="12">
        <v>23</v>
      </c>
      <c r="D21" s="12">
        <v>21</v>
      </c>
      <c r="E21" s="37">
        <f t="shared" si="0"/>
        <v>91.304347826086953</v>
      </c>
    </row>
    <row r="22" spans="1:5" ht="18" x14ac:dyDescent="0.3">
      <c r="A22" s="2">
        <v>18</v>
      </c>
      <c r="B22" s="7" t="s">
        <v>21</v>
      </c>
      <c r="C22" s="12">
        <v>23</v>
      </c>
      <c r="D22" s="12">
        <v>15</v>
      </c>
      <c r="E22" s="42">
        <f t="shared" si="0"/>
        <v>65.217391304347828</v>
      </c>
    </row>
    <row r="23" spans="1:5" ht="18" x14ac:dyDescent="0.3">
      <c r="A23" s="2">
        <v>19</v>
      </c>
      <c r="B23" s="7" t="s">
        <v>22</v>
      </c>
      <c r="C23" s="12">
        <v>23</v>
      </c>
      <c r="D23" s="12">
        <v>21</v>
      </c>
      <c r="E23" s="37">
        <f t="shared" si="0"/>
        <v>91.304347826086953</v>
      </c>
    </row>
    <row r="24" spans="1:5" ht="18" x14ac:dyDescent="0.3">
      <c r="A24" s="2">
        <v>20</v>
      </c>
      <c r="B24" s="7" t="s">
        <v>23</v>
      </c>
      <c r="C24" s="12">
        <v>23</v>
      </c>
      <c r="D24" s="12">
        <v>19</v>
      </c>
      <c r="E24" s="37">
        <f t="shared" si="0"/>
        <v>82.608695652173907</v>
      </c>
    </row>
    <row r="25" spans="1:5" ht="18" x14ac:dyDescent="0.3">
      <c r="A25" s="2">
        <v>21</v>
      </c>
      <c r="B25" s="7" t="s">
        <v>24</v>
      </c>
      <c r="C25" s="12">
        <v>23</v>
      </c>
      <c r="D25" s="12">
        <v>22</v>
      </c>
      <c r="E25" s="37">
        <f t="shared" si="0"/>
        <v>95.652173913043484</v>
      </c>
    </row>
    <row r="26" spans="1:5" ht="18" x14ac:dyDescent="0.3">
      <c r="A26" s="2">
        <v>22</v>
      </c>
      <c r="B26" s="7" t="s">
        <v>25</v>
      </c>
      <c r="C26" s="12">
        <v>23</v>
      </c>
      <c r="D26" s="12">
        <v>22</v>
      </c>
      <c r="E26" s="37">
        <f t="shared" si="0"/>
        <v>95.652173913043484</v>
      </c>
    </row>
    <row r="27" spans="1:5" ht="18" x14ac:dyDescent="0.3">
      <c r="A27" s="2">
        <v>23</v>
      </c>
      <c r="B27" s="7" t="s">
        <v>26</v>
      </c>
      <c r="C27" s="12">
        <v>23</v>
      </c>
      <c r="D27" s="12">
        <v>19</v>
      </c>
      <c r="E27" s="37">
        <f t="shared" si="0"/>
        <v>82.608695652173907</v>
      </c>
    </row>
    <row r="28" spans="1:5" ht="18" x14ac:dyDescent="0.3">
      <c r="A28" s="2">
        <v>24</v>
      </c>
      <c r="B28" s="7" t="s">
        <v>27</v>
      </c>
      <c r="C28" s="12">
        <v>23</v>
      </c>
      <c r="D28" s="12">
        <v>21</v>
      </c>
      <c r="E28" s="37">
        <f t="shared" si="0"/>
        <v>91.304347826086953</v>
      </c>
    </row>
    <row r="29" spans="1:5" ht="18" x14ac:dyDescent="0.3">
      <c r="A29" s="2">
        <v>25</v>
      </c>
      <c r="B29" s="7" t="s">
        <v>28</v>
      </c>
      <c r="C29" s="12">
        <v>23</v>
      </c>
      <c r="D29" s="12">
        <v>18</v>
      </c>
      <c r="E29" s="37">
        <f t="shared" si="0"/>
        <v>78.260869565217391</v>
      </c>
    </row>
    <row r="30" spans="1:5" ht="18" x14ac:dyDescent="0.3">
      <c r="A30" s="2">
        <v>26</v>
      </c>
      <c r="B30" s="7" t="s">
        <v>29</v>
      </c>
      <c r="C30" s="12">
        <v>23</v>
      </c>
      <c r="D30" s="12">
        <v>12</v>
      </c>
      <c r="E30" s="42">
        <f t="shared" si="0"/>
        <v>52.173913043478258</v>
      </c>
    </row>
    <row r="31" spans="1:5" ht="18" x14ac:dyDescent="0.3">
      <c r="A31" s="2">
        <v>27</v>
      </c>
      <c r="B31" s="7" t="s">
        <v>30</v>
      </c>
      <c r="C31" s="12">
        <v>23</v>
      </c>
      <c r="D31" s="12">
        <v>19</v>
      </c>
      <c r="E31" s="37">
        <f t="shared" si="0"/>
        <v>82.608695652173907</v>
      </c>
    </row>
    <row r="32" spans="1:5" ht="18" x14ac:dyDescent="0.3">
      <c r="A32" s="2">
        <v>28</v>
      </c>
      <c r="B32" s="7" t="s">
        <v>31</v>
      </c>
      <c r="C32" s="12">
        <v>23</v>
      </c>
      <c r="D32" s="12">
        <v>19</v>
      </c>
      <c r="E32" s="37">
        <f t="shared" si="0"/>
        <v>82.608695652173907</v>
      </c>
    </row>
    <row r="33" spans="1:5" ht="18" x14ac:dyDescent="0.3">
      <c r="A33" s="2">
        <v>29</v>
      </c>
      <c r="B33" s="7" t="s">
        <v>32</v>
      </c>
      <c r="C33" s="12">
        <v>23</v>
      </c>
      <c r="D33" s="12">
        <v>18</v>
      </c>
      <c r="E33" s="37">
        <f t="shared" si="0"/>
        <v>78.260869565217391</v>
      </c>
    </row>
    <row r="34" spans="1:5" ht="18" x14ac:dyDescent="0.3">
      <c r="A34" s="2">
        <v>30</v>
      </c>
      <c r="B34" s="7" t="s">
        <v>33</v>
      </c>
      <c r="C34" s="12">
        <v>23</v>
      </c>
      <c r="D34" s="12">
        <v>16</v>
      </c>
      <c r="E34" s="42">
        <f t="shared" si="0"/>
        <v>69.565217391304344</v>
      </c>
    </row>
    <row r="35" spans="1:5" ht="18" x14ac:dyDescent="0.3">
      <c r="A35" s="2">
        <v>31</v>
      </c>
      <c r="B35" s="7" t="s">
        <v>34</v>
      </c>
      <c r="C35" s="12">
        <v>23</v>
      </c>
      <c r="D35" s="12">
        <v>11</v>
      </c>
      <c r="E35" s="42">
        <f t="shared" si="0"/>
        <v>47.826086956521742</v>
      </c>
    </row>
    <row r="36" spans="1:5" ht="18" x14ac:dyDescent="0.3">
      <c r="A36" s="2">
        <v>32</v>
      </c>
      <c r="B36" s="7" t="s">
        <v>35</v>
      </c>
      <c r="C36" s="12">
        <v>23</v>
      </c>
      <c r="D36" s="12">
        <v>14</v>
      </c>
      <c r="E36" s="42">
        <f t="shared" si="0"/>
        <v>60.869565217391305</v>
      </c>
    </row>
    <row r="37" spans="1:5" ht="18" x14ac:dyDescent="0.3">
      <c r="A37" s="2">
        <v>33</v>
      </c>
      <c r="B37" s="7" t="s">
        <v>36</v>
      </c>
      <c r="C37" s="12">
        <v>23</v>
      </c>
      <c r="D37" s="12">
        <v>21</v>
      </c>
      <c r="E37" s="37">
        <f t="shared" si="0"/>
        <v>91.304347826086953</v>
      </c>
    </row>
    <row r="38" spans="1:5" ht="18" x14ac:dyDescent="0.3">
      <c r="A38" s="2">
        <v>34</v>
      </c>
      <c r="B38" s="7" t="s">
        <v>37</v>
      </c>
      <c r="C38" s="12">
        <v>23</v>
      </c>
      <c r="D38" s="12">
        <v>5</v>
      </c>
      <c r="E38" s="42">
        <f t="shared" si="0"/>
        <v>21.739130434782609</v>
      </c>
    </row>
    <row r="39" spans="1:5" ht="18" x14ac:dyDescent="0.3">
      <c r="A39" s="2">
        <v>35</v>
      </c>
      <c r="B39" s="7" t="s">
        <v>67</v>
      </c>
      <c r="C39" s="12">
        <v>23</v>
      </c>
      <c r="D39" s="12">
        <v>21</v>
      </c>
      <c r="E39" s="37">
        <f t="shared" si="0"/>
        <v>91.304347826086953</v>
      </c>
    </row>
    <row r="40" spans="1:5" ht="18" x14ac:dyDescent="0.3">
      <c r="A40" s="2">
        <v>36</v>
      </c>
      <c r="B40" s="7" t="s">
        <v>38</v>
      </c>
      <c r="C40" s="12">
        <v>23</v>
      </c>
      <c r="D40" s="12">
        <v>19</v>
      </c>
      <c r="E40" s="40">
        <f t="shared" si="0"/>
        <v>82.608695652173907</v>
      </c>
    </row>
    <row r="41" spans="1:5" ht="18" x14ac:dyDescent="0.3">
      <c r="A41" s="2">
        <v>37</v>
      </c>
      <c r="B41" s="7" t="s">
        <v>39</v>
      </c>
      <c r="C41" s="12">
        <v>23</v>
      </c>
      <c r="D41" s="12">
        <v>22</v>
      </c>
      <c r="E41" s="37">
        <f t="shared" si="0"/>
        <v>95.652173913043484</v>
      </c>
    </row>
    <row r="42" spans="1:5" ht="18" x14ac:dyDescent="0.3">
      <c r="A42" s="2">
        <v>38</v>
      </c>
      <c r="B42" s="7" t="s">
        <v>40</v>
      </c>
      <c r="C42" s="12">
        <v>23</v>
      </c>
      <c r="D42" s="12">
        <v>15</v>
      </c>
      <c r="E42" s="42">
        <f t="shared" si="0"/>
        <v>65.217391304347828</v>
      </c>
    </row>
    <row r="43" spans="1:5" ht="18" x14ac:dyDescent="0.3">
      <c r="A43" s="2">
        <v>39</v>
      </c>
      <c r="B43" s="7" t="s">
        <v>41</v>
      </c>
      <c r="C43" s="12">
        <v>23</v>
      </c>
      <c r="D43" s="12">
        <v>21</v>
      </c>
      <c r="E43" s="37">
        <f t="shared" si="0"/>
        <v>91.304347826086953</v>
      </c>
    </row>
    <row r="44" spans="1:5" ht="18" x14ac:dyDescent="0.3">
      <c r="A44" s="2">
        <v>40</v>
      </c>
      <c r="B44" s="7" t="s">
        <v>42</v>
      </c>
      <c r="C44" s="12">
        <v>23</v>
      </c>
      <c r="D44" s="12">
        <v>19</v>
      </c>
      <c r="E44" s="37">
        <f t="shared" si="0"/>
        <v>82.608695652173907</v>
      </c>
    </row>
    <row r="45" spans="1:5" ht="18" x14ac:dyDescent="0.3">
      <c r="A45" s="2">
        <v>41</v>
      </c>
      <c r="B45" s="7" t="s">
        <v>43</v>
      </c>
      <c r="C45" s="12">
        <v>23</v>
      </c>
      <c r="D45" s="12">
        <v>20</v>
      </c>
      <c r="E45" s="37">
        <f t="shared" si="0"/>
        <v>86.956521739130437</v>
      </c>
    </row>
    <row r="46" spans="1:5" ht="18" x14ac:dyDescent="0.3">
      <c r="A46" s="2">
        <v>42</v>
      </c>
      <c r="B46" s="7" t="s">
        <v>44</v>
      </c>
      <c r="C46" s="12">
        <v>23</v>
      </c>
      <c r="D46" s="12">
        <v>23</v>
      </c>
      <c r="E46" s="37">
        <f t="shared" si="0"/>
        <v>100</v>
      </c>
    </row>
    <row r="47" spans="1:5" ht="18" x14ac:dyDescent="0.3">
      <c r="A47" s="2">
        <v>43</v>
      </c>
      <c r="B47" s="7" t="s">
        <v>45</v>
      </c>
      <c r="C47" s="12">
        <v>23</v>
      </c>
      <c r="D47" s="12">
        <v>22</v>
      </c>
      <c r="E47" s="37">
        <f t="shared" si="0"/>
        <v>95.652173913043484</v>
      </c>
    </row>
    <row r="48" spans="1:5" ht="18" x14ac:dyDescent="0.3">
      <c r="A48" s="2">
        <v>44</v>
      </c>
      <c r="B48" s="7" t="s">
        <v>46</v>
      </c>
      <c r="C48" s="12">
        <v>23</v>
      </c>
      <c r="D48" s="12">
        <v>14</v>
      </c>
      <c r="E48" s="42">
        <f t="shared" si="0"/>
        <v>60.869565217391305</v>
      </c>
    </row>
    <row r="49" spans="1:5" ht="18" x14ac:dyDescent="0.3">
      <c r="A49" s="2">
        <v>45</v>
      </c>
      <c r="B49" s="7" t="s">
        <v>47</v>
      </c>
      <c r="C49" s="12">
        <v>23</v>
      </c>
      <c r="D49" s="12">
        <v>17</v>
      </c>
      <c r="E49" s="42">
        <f t="shared" si="0"/>
        <v>73.913043478260875</v>
      </c>
    </row>
    <row r="50" spans="1:5" ht="18" x14ac:dyDescent="0.3">
      <c r="A50" s="2">
        <v>46</v>
      </c>
      <c r="B50" s="7" t="s">
        <v>48</v>
      </c>
      <c r="C50" s="12">
        <v>23</v>
      </c>
      <c r="D50" s="12">
        <v>19</v>
      </c>
      <c r="E50" s="37">
        <f t="shared" si="0"/>
        <v>82.608695652173907</v>
      </c>
    </row>
    <row r="51" spans="1:5" ht="18" x14ac:dyDescent="0.3">
      <c r="A51" s="2">
        <v>47</v>
      </c>
      <c r="B51" s="7" t="s">
        <v>49</v>
      </c>
      <c r="C51" s="12">
        <v>23</v>
      </c>
      <c r="D51" s="12">
        <v>19</v>
      </c>
      <c r="E51" s="37">
        <f t="shared" si="0"/>
        <v>82.608695652173907</v>
      </c>
    </row>
    <row r="52" spans="1:5" ht="18" x14ac:dyDescent="0.3">
      <c r="A52" s="2">
        <v>48</v>
      </c>
      <c r="B52" s="7" t="s">
        <v>50</v>
      </c>
      <c r="C52" s="12">
        <v>23</v>
      </c>
      <c r="D52" s="12">
        <v>18</v>
      </c>
      <c r="E52" s="37">
        <f t="shared" si="0"/>
        <v>78.260869565217391</v>
      </c>
    </row>
    <row r="53" spans="1:5" ht="18" x14ac:dyDescent="0.3">
      <c r="A53" s="2">
        <v>49</v>
      </c>
      <c r="B53" s="7" t="s">
        <v>51</v>
      </c>
      <c r="C53" s="12">
        <v>23</v>
      </c>
      <c r="D53" s="12">
        <v>17</v>
      </c>
      <c r="E53" s="37">
        <f t="shared" si="0"/>
        <v>73.913043478260875</v>
      </c>
    </row>
    <row r="54" spans="1:5" ht="18" x14ac:dyDescent="0.3">
      <c r="A54" s="2">
        <v>50</v>
      </c>
      <c r="B54" s="7" t="s">
        <v>52</v>
      </c>
      <c r="C54" s="12">
        <v>23</v>
      </c>
      <c r="D54" s="12">
        <v>19</v>
      </c>
      <c r="E54" s="37">
        <f t="shared" si="0"/>
        <v>82.608695652173907</v>
      </c>
    </row>
    <row r="55" spans="1:5" ht="18" x14ac:dyDescent="0.3">
      <c r="A55" s="2">
        <v>51</v>
      </c>
      <c r="B55" s="7" t="s">
        <v>53</v>
      </c>
      <c r="C55" s="12">
        <v>23</v>
      </c>
      <c r="D55" s="12">
        <v>21</v>
      </c>
      <c r="E55" s="37">
        <f t="shared" si="0"/>
        <v>91.304347826086953</v>
      </c>
    </row>
    <row r="56" spans="1:5" ht="18" x14ac:dyDescent="0.3">
      <c r="A56" s="2">
        <v>52</v>
      </c>
      <c r="B56" s="7" t="s">
        <v>54</v>
      </c>
      <c r="C56" s="12">
        <v>23</v>
      </c>
      <c r="D56" s="12">
        <v>22</v>
      </c>
      <c r="E56" s="37">
        <f t="shared" si="0"/>
        <v>95.652173913043484</v>
      </c>
    </row>
    <row r="57" spans="1:5" ht="18" x14ac:dyDescent="0.3">
      <c r="A57" s="2">
        <v>53</v>
      </c>
      <c r="B57" s="7" t="s">
        <v>55</v>
      </c>
      <c r="C57" s="12">
        <v>23</v>
      </c>
      <c r="D57" s="12">
        <v>19</v>
      </c>
      <c r="E57" s="37">
        <f t="shared" si="0"/>
        <v>82.608695652173907</v>
      </c>
    </row>
    <row r="58" spans="1:5" ht="18" x14ac:dyDescent="0.3">
      <c r="A58" s="2">
        <v>54</v>
      </c>
      <c r="B58" s="7" t="s">
        <v>56</v>
      </c>
      <c r="C58" s="12">
        <v>23</v>
      </c>
      <c r="D58" s="12">
        <v>20</v>
      </c>
      <c r="E58" s="37">
        <f t="shared" si="0"/>
        <v>86.956521739130437</v>
      </c>
    </row>
    <row r="59" spans="1:5" ht="18" x14ac:dyDescent="0.3">
      <c r="A59" s="2">
        <v>55</v>
      </c>
      <c r="B59" s="7" t="s">
        <v>57</v>
      </c>
      <c r="C59" s="12">
        <v>23</v>
      </c>
      <c r="D59" s="12">
        <v>18</v>
      </c>
      <c r="E59" s="37">
        <f t="shared" si="0"/>
        <v>78.260869565217391</v>
      </c>
    </row>
    <row r="60" spans="1:5" ht="18" x14ac:dyDescent="0.3">
      <c r="A60" s="2">
        <v>56</v>
      </c>
      <c r="B60" s="7" t="s">
        <v>58</v>
      </c>
      <c r="C60" s="12">
        <v>23</v>
      </c>
      <c r="D60" s="12">
        <v>0</v>
      </c>
      <c r="E60" s="42">
        <f t="shared" si="0"/>
        <v>0</v>
      </c>
    </row>
    <row r="61" spans="1:5" ht="18" x14ac:dyDescent="0.3">
      <c r="A61" s="2">
        <v>57</v>
      </c>
      <c r="B61" s="7" t="s">
        <v>59</v>
      </c>
      <c r="C61" s="12">
        <v>23</v>
      </c>
      <c r="D61" s="12">
        <v>20</v>
      </c>
      <c r="E61" s="37">
        <f t="shared" si="0"/>
        <v>86.956521739130437</v>
      </c>
    </row>
    <row r="62" spans="1:5" ht="18" x14ac:dyDescent="0.3">
      <c r="A62" s="2">
        <v>58</v>
      </c>
      <c r="B62" s="7" t="s">
        <v>60</v>
      </c>
      <c r="C62" s="12">
        <v>23</v>
      </c>
      <c r="D62" s="12">
        <v>20</v>
      </c>
      <c r="E62" s="37">
        <f t="shared" si="0"/>
        <v>86.956521739130437</v>
      </c>
    </row>
    <row r="63" spans="1:5" ht="31.2" x14ac:dyDescent="0.3">
      <c r="A63" s="2">
        <v>59</v>
      </c>
      <c r="B63" s="8" t="s">
        <v>61</v>
      </c>
      <c r="C63" s="12">
        <v>23</v>
      </c>
      <c r="D63" s="12">
        <v>18</v>
      </c>
      <c r="E63" s="37">
        <f t="shared" si="0"/>
        <v>78.260869565217391</v>
      </c>
    </row>
    <row r="64" spans="1:5" ht="18" x14ac:dyDescent="0.3">
      <c r="A64" s="2">
        <v>60</v>
      </c>
      <c r="B64" s="9" t="s">
        <v>62</v>
      </c>
      <c r="C64" s="12">
        <v>23</v>
      </c>
      <c r="D64" s="12">
        <v>19</v>
      </c>
      <c r="E64" s="37">
        <f t="shared" si="0"/>
        <v>82.608695652173907</v>
      </c>
    </row>
  </sheetData>
  <mergeCells count="3">
    <mergeCell ref="A1:E1"/>
    <mergeCell ref="A2:E2"/>
    <mergeCell ref="A3:D3"/>
  </mergeCells>
  <pageMargins left="0.7" right="0.7" top="0.48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zoomScale="145" zoomScaleNormal="145" workbookViewId="0">
      <selection sqref="A1:E64"/>
    </sheetView>
  </sheetViews>
  <sheetFormatPr defaultRowHeight="14.4" x14ac:dyDescent="0.3"/>
  <cols>
    <col min="1" max="1" width="7.5546875" bestFit="1" customWidth="1"/>
    <col min="2" max="2" width="36.44140625" customWidth="1"/>
    <col min="3" max="3" width="8.5546875" bestFit="1" customWidth="1"/>
    <col min="4" max="4" width="7.88671875" bestFit="1" customWidth="1"/>
    <col min="5" max="5" width="17.109375" style="20" bestFit="1" customWidth="1"/>
  </cols>
  <sheetData>
    <row r="1" spans="1:5" ht="33" customHeight="1" x14ac:dyDescent="0.25">
      <c r="A1" s="114" t="s">
        <v>0</v>
      </c>
      <c r="B1" s="114"/>
      <c r="C1" s="114"/>
      <c r="D1" s="114"/>
      <c r="E1" s="114"/>
    </row>
    <row r="2" spans="1:5" ht="26.25" x14ac:dyDescent="0.25">
      <c r="A2" s="102" t="s">
        <v>63</v>
      </c>
      <c r="B2" s="102"/>
      <c r="C2" s="102"/>
      <c r="D2" s="102"/>
      <c r="E2" s="102"/>
    </row>
    <row r="3" spans="1:5" ht="21" x14ac:dyDescent="0.25">
      <c r="A3" s="107" t="s">
        <v>86</v>
      </c>
      <c r="B3" s="108"/>
      <c r="C3" s="108"/>
      <c r="D3" s="109"/>
      <c r="E3" s="43"/>
    </row>
    <row r="4" spans="1:5" ht="45" x14ac:dyDescent="0.25">
      <c r="A4" s="19" t="s">
        <v>1</v>
      </c>
      <c r="B4" s="4" t="s">
        <v>2</v>
      </c>
      <c r="C4" s="3" t="s">
        <v>3</v>
      </c>
      <c r="D4" s="3" t="s">
        <v>4</v>
      </c>
      <c r="E4" s="44" t="s">
        <v>73</v>
      </c>
    </row>
    <row r="5" spans="1:5" ht="18.75" x14ac:dyDescent="0.25">
      <c r="A5" s="10">
        <v>1</v>
      </c>
      <c r="B5" s="11" t="s">
        <v>5</v>
      </c>
      <c r="C5" s="12">
        <v>24</v>
      </c>
      <c r="D5" s="12">
        <v>21</v>
      </c>
      <c r="E5" s="40">
        <f>D5*100/C5</f>
        <v>87.5</v>
      </c>
    </row>
    <row r="6" spans="1:5" ht="18.75" x14ac:dyDescent="0.25">
      <c r="A6" s="2">
        <v>2</v>
      </c>
      <c r="B6" s="7" t="s">
        <v>6</v>
      </c>
      <c r="C6" s="12">
        <v>24</v>
      </c>
      <c r="D6" s="12">
        <v>24</v>
      </c>
      <c r="E6" s="40">
        <f t="shared" ref="E6:E64" si="0">D6*100/C6</f>
        <v>100</v>
      </c>
    </row>
    <row r="7" spans="1:5" ht="18.75" x14ac:dyDescent="0.25">
      <c r="A7" s="2">
        <v>3</v>
      </c>
      <c r="B7" s="7" t="s">
        <v>7</v>
      </c>
      <c r="C7" s="12">
        <v>24</v>
      </c>
      <c r="D7" s="12">
        <v>18</v>
      </c>
      <c r="E7" s="40">
        <f t="shared" si="0"/>
        <v>75</v>
      </c>
    </row>
    <row r="8" spans="1:5" ht="18.75" x14ac:dyDescent="0.25">
      <c r="A8" s="2">
        <v>4</v>
      </c>
      <c r="B8" s="7" t="s">
        <v>8</v>
      </c>
      <c r="C8" s="12">
        <v>24</v>
      </c>
      <c r="D8" s="12">
        <v>0</v>
      </c>
      <c r="E8" s="45">
        <v>19</v>
      </c>
    </row>
    <row r="9" spans="1:5" ht="18.75" x14ac:dyDescent="0.25">
      <c r="A9" s="2">
        <v>5</v>
      </c>
      <c r="B9" s="7" t="s">
        <v>9</v>
      </c>
      <c r="C9" s="12">
        <v>24</v>
      </c>
      <c r="D9" s="12">
        <v>19</v>
      </c>
      <c r="E9" s="40">
        <f>D9*100/C9</f>
        <v>79.166666666666671</v>
      </c>
    </row>
    <row r="10" spans="1:5" ht="18.75" x14ac:dyDescent="0.25">
      <c r="A10" s="2">
        <v>6</v>
      </c>
      <c r="B10" s="7" t="s">
        <v>10</v>
      </c>
      <c r="C10" s="12">
        <v>24</v>
      </c>
      <c r="D10" s="12">
        <v>0</v>
      </c>
      <c r="E10" s="40">
        <f t="shared" si="0"/>
        <v>0</v>
      </c>
    </row>
    <row r="11" spans="1:5" ht="18.75" x14ac:dyDescent="0.25">
      <c r="A11" s="2">
        <v>7</v>
      </c>
      <c r="B11" s="7" t="s">
        <v>11</v>
      </c>
      <c r="C11" s="12">
        <v>24</v>
      </c>
      <c r="D11" s="12">
        <v>20</v>
      </c>
      <c r="E11" s="40">
        <f t="shared" si="0"/>
        <v>83.333333333333329</v>
      </c>
    </row>
    <row r="12" spans="1:5" ht="18.75" x14ac:dyDescent="0.25">
      <c r="A12" s="2">
        <v>8</v>
      </c>
      <c r="B12" s="7" t="s">
        <v>12</v>
      </c>
      <c r="C12" s="12">
        <v>24</v>
      </c>
      <c r="D12" s="12">
        <v>20</v>
      </c>
      <c r="E12" s="40">
        <f t="shared" si="0"/>
        <v>83.333333333333329</v>
      </c>
    </row>
    <row r="13" spans="1:5" ht="18.75" x14ac:dyDescent="0.25">
      <c r="A13" s="2">
        <v>9</v>
      </c>
      <c r="B13" s="7" t="s">
        <v>13</v>
      </c>
      <c r="C13" s="12">
        <v>24</v>
      </c>
      <c r="D13" s="12">
        <v>23</v>
      </c>
      <c r="E13" s="40">
        <f t="shared" si="0"/>
        <v>95.833333333333329</v>
      </c>
    </row>
    <row r="14" spans="1:5" ht="18.75" x14ac:dyDescent="0.25">
      <c r="A14" s="2">
        <v>10</v>
      </c>
      <c r="B14" s="7" t="s">
        <v>14</v>
      </c>
      <c r="C14" s="12">
        <v>24</v>
      </c>
      <c r="D14" s="12">
        <v>19</v>
      </c>
      <c r="E14" s="40">
        <f t="shared" si="0"/>
        <v>79.166666666666671</v>
      </c>
    </row>
    <row r="15" spans="1:5" ht="18" x14ac:dyDescent="0.3">
      <c r="A15" s="2">
        <v>11</v>
      </c>
      <c r="B15" s="7" t="s">
        <v>15</v>
      </c>
      <c r="C15" s="12">
        <v>24</v>
      </c>
      <c r="D15" s="12">
        <v>19</v>
      </c>
      <c r="E15" s="40">
        <f t="shared" si="0"/>
        <v>79.166666666666671</v>
      </c>
    </row>
    <row r="16" spans="1:5" ht="18" x14ac:dyDescent="0.3">
      <c r="A16" s="2">
        <v>12</v>
      </c>
      <c r="B16" s="7" t="s">
        <v>16</v>
      </c>
      <c r="C16" s="12">
        <v>24</v>
      </c>
      <c r="D16" s="12">
        <v>0</v>
      </c>
      <c r="E16" s="46">
        <f t="shared" si="0"/>
        <v>0</v>
      </c>
    </row>
    <row r="17" spans="1:5" ht="18" x14ac:dyDescent="0.3">
      <c r="A17" s="2">
        <v>13</v>
      </c>
      <c r="B17" s="7" t="s">
        <v>17</v>
      </c>
      <c r="C17" s="12">
        <v>24</v>
      </c>
      <c r="D17" s="12">
        <v>22</v>
      </c>
      <c r="E17" s="40">
        <f t="shared" si="0"/>
        <v>91.666666666666671</v>
      </c>
    </row>
    <row r="18" spans="1:5" ht="18" x14ac:dyDescent="0.3">
      <c r="A18" s="2">
        <v>14</v>
      </c>
      <c r="B18" s="7" t="s">
        <v>18</v>
      </c>
      <c r="C18" s="12">
        <v>24</v>
      </c>
      <c r="D18" s="12">
        <v>22</v>
      </c>
      <c r="E18" s="40">
        <f t="shared" si="0"/>
        <v>91.666666666666671</v>
      </c>
    </row>
    <row r="19" spans="1:5" ht="18" x14ac:dyDescent="0.3">
      <c r="A19" s="2">
        <v>15</v>
      </c>
      <c r="B19" s="7" t="s">
        <v>19</v>
      </c>
      <c r="C19" s="12">
        <v>24</v>
      </c>
      <c r="D19" s="12">
        <v>19</v>
      </c>
      <c r="E19" s="40">
        <f t="shared" si="0"/>
        <v>79.166666666666671</v>
      </c>
    </row>
    <row r="20" spans="1:5" ht="18" x14ac:dyDescent="0.3">
      <c r="A20" s="2">
        <v>16</v>
      </c>
      <c r="B20" s="7" t="s">
        <v>71</v>
      </c>
      <c r="C20" s="12">
        <v>24</v>
      </c>
      <c r="D20" s="12">
        <v>23</v>
      </c>
      <c r="E20" s="40">
        <f t="shared" si="0"/>
        <v>95.833333333333329</v>
      </c>
    </row>
    <row r="21" spans="1:5" ht="18" x14ac:dyDescent="0.3">
      <c r="A21" s="2">
        <v>17</v>
      </c>
      <c r="B21" s="7" t="s">
        <v>20</v>
      </c>
      <c r="C21" s="12">
        <v>24</v>
      </c>
      <c r="D21" s="12">
        <v>24</v>
      </c>
      <c r="E21" s="40">
        <f t="shared" si="0"/>
        <v>100</v>
      </c>
    </row>
    <row r="22" spans="1:5" ht="18" x14ac:dyDescent="0.3">
      <c r="A22" s="2">
        <v>18</v>
      </c>
      <c r="B22" s="7" t="s">
        <v>21</v>
      </c>
      <c r="C22" s="12">
        <v>24</v>
      </c>
      <c r="D22" s="12">
        <v>21</v>
      </c>
      <c r="E22" s="40">
        <f t="shared" si="0"/>
        <v>87.5</v>
      </c>
    </row>
    <row r="23" spans="1:5" ht="18" x14ac:dyDescent="0.3">
      <c r="A23" s="2">
        <v>19</v>
      </c>
      <c r="B23" s="7" t="s">
        <v>22</v>
      </c>
      <c r="C23" s="12">
        <v>24</v>
      </c>
      <c r="D23" s="12">
        <v>21</v>
      </c>
      <c r="E23" s="40">
        <f t="shared" si="0"/>
        <v>87.5</v>
      </c>
    </row>
    <row r="24" spans="1:5" ht="18" x14ac:dyDescent="0.3">
      <c r="A24" s="2">
        <v>20</v>
      </c>
      <c r="B24" s="7" t="s">
        <v>23</v>
      </c>
      <c r="C24" s="12">
        <v>24</v>
      </c>
      <c r="D24" s="12">
        <v>23</v>
      </c>
      <c r="E24" s="40">
        <f t="shared" si="0"/>
        <v>95.833333333333329</v>
      </c>
    </row>
    <row r="25" spans="1:5" ht="18" x14ac:dyDescent="0.3">
      <c r="A25" s="2">
        <v>21</v>
      </c>
      <c r="B25" s="7" t="s">
        <v>24</v>
      </c>
      <c r="C25" s="12">
        <v>24</v>
      </c>
      <c r="D25" s="12">
        <v>24</v>
      </c>
      <c r="E25" s="40">
        <f t="shared" si="0"/>
        <v>100</v>
      </c>
    </row>
    <row r="26" spans="1:5" ht="18" x14ac:dyDescent="0.3">
      <c r="A26" s="2">
        <v>22</v>
      </c>
      <c r="B26" s="7" t="s">
        <v>25</v>
      </c>
      <c r="C26" s="12">
        <v>24</v>
      </c>
      <c r="D26" s="12">
        <v>24</v>
      </c>
      <c r="E26" s="40">
        <f t="shared" si="0"/>
        <v>100</v>
      </c>
    </row>
    <row r="27" spans="1:5" ht="18" x14ac:dyDescent="0.3">
      <c r="A27" s="2">
        <v>23</v>
      </c>
      <c r="B27" s="7" t="s">
        <v>26</v>
      </c>
      <c r="C27" s="12">
        <v>24</v>
      </c>
      <c r="D27" s="12">
        <v>19</v>
      </c>
      <c r="E27" s="40">
        <f t="shared" si="0"/>
        <v>79.166666666666671</v>
      </c>
    </row>
    <row r="28" spans="1:5" ht="18" x14ac:dyDescent="0.3">
      <c r="A28" s="2">
        <v>24</v>
      </c>
      <c r="B28" s="7" t="s">
        <v>27</v>
      </c>
      <c r="C28" s="12">
        <v>24</v>
      </c>
      <c r="D28" s="12">
        <v>18</v>
      </c>
      <c r="E28" s="40">
        <f t="shared" si="0"/>
        <v>75</v>
      </c>
    </row>
    <row r="29" spans="1:5" ht="18" x14ac:dyDescent="0.3">
      <c r="A29" s="2">
        <v>25</v>
      </c>
      <c r="B29" s="7" t="s">
        <v>28</v>
      </c>
      <c r="C29" s="12">
        <v>24</v>
      </c>
      <c r="D29" s="12">
        <v>19</v>
      </c>
      <c r="E29" s="40">
        <f t="shared" si="0"/>
        <v>79.166666666666671</v>
      </c>
    </row>
    <row r="30" spans="1:5" ht="18" x14ac:dyDescent="0.3">
      <c r="A30" s="2">
        <v>26</v>
      </c>
      <c r="B30" s="7" t="s">
        <v>29</v>
      </c>
      <c r="C30" s="12">
        <v>24</v>
      </c>
      <c r="D30" s="12">
        <v>18</v>
      </c>
      <c r="E30" s="40">
        <f t="shared" si="0"/>
        <v>75</v>
      </c>
    </row>
    <row r="31" spans="1:5" ht="18" x14ac:dyDescent="0.3">
      <c r="A31" s="2">
        <v>27</v>
      </c>
      <c r="B31" s="7" t="s">
        <v>30</v>
      </c>
      <c r="C31" s="12">
        <v>24</v>
      </c>
      <c r="D31" s="12">
        <v>18</v>
      </c>
      <c r="E31" s="40">
        <f t="shared" si="0"/>
        <v>75</v>
      </c>
    </row>
    <row r="32" spans="1:5" ht="18" x14ac:dyDescent="0.3">
      <c r="A32" s="2">
        <v>28</v>
      </c>
      <c r="B32" s="7" t="s">
        <v>31</v>
      </c>
      <c r="C32" s="12">
        <v>24</v>
      </c>
      <c r="D32" s="12">
        <v>22</v>
      </c>
      <c r="E32" s="40">
        <f t="shared" si="0"/>
        <v>91.666666666666671</v>
      </c>
    </row>
    <row r="33" spans="1:5" ht="18" x14ac:dyDescent="0.3">
      <c r="A33" s="2">
        <v>29</v>
      </c>
      <c r="B33" s="7" t="s">
        <v>32</v>
      </c>
      <c r="C33" s="12">
        <v>24</v>
      </c>
      <c r="D33" s="12">
        <v>20</v>
      </c>
      <c r="E33" s="40">
        <f t="shared" si="0"/>
        <v>83.333333333333329</v>
      </c>
    </row>
    <row r="34" spans="1:5" ht="18" x14ac:dyDescent="0.3">
      <c r="A34" s="2">
        <v>30</v>
      </c>
      <c r="B34" s="7" t="s">
        <v>33</v>
      </c>
      <c r="C34" s="12">
        <v>24</v>
      </c>
      <c r="D34" s="12">
        <v>24</v>
      </c>
      <c r="E34" s="40">
        <f t="shared" si="0"/>
        <v>100</v>
      </c>
    </row>
    <row r="35" spans="1:5" ht="18" x14ac:dyDescent="0.3">
      <c r="A35" s="2">
        <v>31</v>
      </c>
      <c r="B35" s="7" t="s">
        <v>34</v>
      </c>
      <c r="C35" s="12">
        <v>24</v>
      </c>
      <c r="D35" s="12">
        <v>22</v>
      </c>
      <c r="E35" s="40">
        <f t="shared" si="0"/>
        <v>91.666666666666671</v>
      </c>
    </row>
    <row r="36" spans="1:5" ht="18" x14ac:dyDescent="0.3">
      <c r="A36" s="2">
        <v>32</v>
      </c>
      <c r="B36" s="7" t="s">
        <v>35</v>
      </c>
      <c r="C36" s="12">
        <v>24</v>
      </c>
      <c r="D36" s="12">
        <v>19</v>
      </c>
      <c r="E36" s="40">
        <f t="shared" si="0"/>
        <v>79.166666666666671</v>
      </c>
    </row>
    <row r="37" spans="1:5" ht="18" x14ac:dyDescent="0.3">
      <c r="A37" s="2">
        <v>33</v>
      </c>
      <c r="B37" s="7" t="s">
        <v>36</v>
      </c>
      <c r="C37" s="12">
        <v>24</v>
      </c>
      <c r="D37" s="12">
        <v>22</v>
      </c>
      <c r="E37" s="40">
        <f t="shared" si="0"/>
        <v>91.666666666666671</v>
      </c>
    </row>
    <row r="38" spans="1:5" ht="18" x14ac:dyDescent="0.3">
      <c r="A38" s="2">
        <v>34</v>
      </c>
      <c r="B38" s="7" t="s">
        <v>37</v>
      </c>
      <c r="C38" s="12">
        <v>24</v>
      </c>
      <c r="D38" s="12">
        <v>23</v>
      </c>
      <c r="E38" s="40">
        <f t="shared" si="0"/>
        <v>95.833333333333329</v>
      </c>
    </row>
    <row r="39" spans="1:5" ht="18" x14ac:dyDescent="0.3">
      <c r="A39" s="2">
        <v>35</v>
      </c>
      <c r="B39" s="7" t="s">
        <v>67</v>
      </c>
      <c r="C39" s="12">
        <v>24</v>
      </c>
      <c r="D39" s="12">
        <v>22</v>
      </c>
      <c r="E39" s="40">
        <f t="shared" si="0"/>
        <v>91.666666666666671</v>
      </c>
    </row>
    <row r="40" spans="1:5" ht="18" x14ac:dyDescent="0.3">
      <c r="A40" s="2">
        <v>36</v>
      </c>
      <c r="B40" s="7" t="s">
        <v>38</v>
      </c>
      <c r="C40" s="12">
        <v>24</v>
      </c>
      <c r="D40" s="12">
        <v>20</v>
      </c>
      <c r="E40" s="40">
        <f t="shared" si="0"/>
        <v>83.333333333333329</v>
      </c>
    </row>
    <row r="41" spans="1:5" ht="18" x14ac:dyDescent="0.3">
      <c r="A41" s="2">
        <v>37</v>
      </c>
      <c r="B41" s="7" t="s">
        <v>39</v>
      </c>
      <c r="C41" s="12">
        <v>24</v>
      </c>
      <c r="D41" s="12">
        <v>24</v>
      </c>
      <c r="E41" s="40">
        <f t="shared" si="0"/>
        <v>100</v>
      </c>
    </row>
    <row r="42" spans="1:5" ht="18" x14ac:dyDescent="0.3">
      <c r="A42" s="2">
        <v>38</v>
      </c>
      <c r="B42" s="7" t="s">
        <v>40</v>
      </c>
      <c r="C42" s="12">
        <v>24</v>
      </c>
      <c r="D42" s="12">
        <v>24</v>
      </c>
      <c r="E42" s="40">
        <f t="shared" si="0"/>
        <v>100</v>
      </c>
    </row>
    <row r="43" spans="1:5" ht="18" x14ac:dyDescent="0.3">
      <c r="A43" s="2">
        <v>39</v>
      </c>
      <c r="B43" s="7" t="s">
        <v>41</v>
      </c>
      <c r="C43" s="12">
        <v>24</v>
      </c>
      <c r="D43" s="12">
        <v>21</v>
      </c>
      <c r="E43" s="40">
        <f t="shared" si="0"/>
        <v>87.5</v>
      </c>
    </row>
    <row r="44" spans="1:5" ht="18" x14ac:dyDescent="0.3">
      <c r="A44" s="2">
        <v>40</v>
      </c>
      <c r="B44" s="7" t="s">
        <v>42</v>
      </c>
      <c r="C44" s="12">
        <v>24</v>
      </c>
      <c r="D44" s="12">
        <v>23</v>
      </c>
      <c r="E44" s="40">
        <f t="shared" si="0"/>
        <v>95.833333333333329</v>
      </c>
    </row>
    <row r="45" spans="1:5" ht="18" x14ac:dyDescent="0.3">
      <c r="A45" s="2">
        <v>41</v>
      </c>
      <c r="B45" s="7" t="s">
        <v>43</v>
      </c>
      <c r="C45" s="12">
        <v>24</v>
      </c>
      <c r="D45" s="12">
        <v>21</v>
      </c>
      <c r="E45" s="40">
        <f t="shared" si="0"/>
        <v>87.5</v>
      </c>
    </row>
    <row r="46" spans="1:5" ht="18" x14ac:dyDescent="0.3">
      <c r="A46" s="2">
        <v>42</v>
      </c>
      <c r="B46" s="7" t="s">
        <v>44</v>
      </c>
      <c r="C46" s="12">
        <v>24</v>
      </c>
      <c r="D46" s="12">
        <v>24</v>
      </c>
      <c r="E46" s="40">
        <f t="shared" si="0"/>
        <v>100</v>
      </c>
    </row>
    <row r="47" spans="1:5" ht="18" x14ac:dyDescent="0.3">
      <c r="A47" s="2">
        <v>43</v>
      </c>
      <c r="B47" s="7" t="s">
        <v>45</v>
      </c>
      <c r="C47" s="12">
        <v>24</v>
      </c>
      <c r="D47" s="12">
        <v>20</v>
      </c>
      <c r="E47" s="40">
        <f t="shared" si="0"/>
        <v>83.333333333333329</v>
      </c>
    </row>
    <row r="48" spans="1:5" ht="18" x14ac:dyDescent="0.3">
      <c r="A48" s="2">
        <v>44</v>
      </c>
      <c r="B48" s="7" t="s">
        <v>46</v>
      </c>
      <c r="C48" s="12">
        <v>24</v>
      </c>
      <c r="D48" s="12">
        <v>13</v>
      </c>
      <c r="E48" s="46">
        <f t="shared" si="0"/>
        <v>54.166666666666664</v>
      </c>
    </row>
    <row r="49" spans="1:5" ht="18" x14ac:dyDescent="0.3">
      <c r="A49" s="2">
        <v>45</v>
      </c>
      <c r="B49" s="7" t="s">
        <v>47</v>
      </c>
      <c r="C49" s="12">
        <v>24</v>
      </c>
      <c r="D49" s="12">
        <v>22</v>
      </c>
      <c r="E49" s="40">
        <f t="shared" si="0"/>
        <v>91.666666666666671</v>
      </c>
    </row>
    <row r="50" spans="1:5" ht="18" x14ac:dyDescent="0.3">
      <c r="A50" s="2">
        <v>46</v>
      </c>
      <c r="B50" s="7" t="s">
        <v>48</v>
      </c>
      <c r="C50" s="12">
        <v>24</v>
      </c>
      <c r="D50" s="12">
        <v>21</v>
      </c>
      <c r="E50" s="40">
        <f t="shared" si="0"/>
        <v>87.5</v>
      </c>
    </row>
    <row r="51" spans="1:5" ht="18" x14ac:dyDescent="0.3">
      <c r="A51" s="2">
        <v>47</v>
      </c>
      <c r="B51" s="7" t="s">
        <v>49</v>
      </c>
      <c r="C51" s="12">
        <v>24</v>
      </c>
      <c r="D51" s="12">
        <v>20</v>
      </c>
      <c r="E51" s="40">
        <f t="shared" si="0"/>
        <v>83.333333333333329</v>
      </c>
    </row>
    <row r="52" spans="1:5" ht="18" x14ac:dyDescent="0.3">
      <c r="A52" s="2">
        <v>48</v>
      </c>
      <c r="B52" s="7" t="s">
        <v>50</v>
      </c>
      <c r="C52" s="12">
        <v>24</v>
      </c>
      <c r="D52" s="12">
        <v>21</v>
      </c>
      <c r="E52" s="40">
        <f t="shared" si="0"/>
        <v>87.5</v>
      </c>
    </row>
    <row r="53" spans="1:5" ht="18" x14ac:dyDescent="0.3">
      <c r="A53" s="2">
        <v>49</v>
      </c>
      <c r="B53" s="7" t="s">
        <v>51</v>
      </c>
      <c r="C53" s="12">
        <v>24</v>
      </c>
      <c r="D53" s="12">
        <v>18</v>
      </c>
      <c r="E53" s="40">
        <f t="shared" si="0"/>
        <v>75</v>
      </c>
    </row>
    <row r="54" spans="1:5" ht="18" x14ac:dyDescent="0.3">
      <c r="A54" s="2">
        <v>50</v>
      </c>
      <c r="B54" s="7" t="s">
        <v>52</v>
      </c>
      <c r="C54" s="12">
        <v>24</v>
      </c>
      <c r="D54" s="12">
        <v>24</v>
      </c>
      <c r="E54" s="40">
        <f t="shared" si="0"/>
        <v>100</v>
      </c>
    </row>
    <row r="55" spans="1:5" ht="18" x14ac:dyDescent="0.3">
      <c r="A55" s="2">
        <v>51</v>
      </c>
      <c r="B55" s="7" t="s">
        <v>53</v>
      </c>
      <c r="C55" s="12">
        <v>24</v>
      </c>
      <c r="D55" s="12">
        <v>21</v>
      </c>
      <c r="E55" s="40">
        <f t="shared" si="0"/>
        <v>87.5</v>
      </c>
    </row>
    <row r="56" spans="1:5" ht="18" x14ac:dyDescent="0.3">
      <c r="A56" s="2">
        <v>52</v>
      </c>
      <c r="B56" s="7" t="s">
        <v>54</v>
      </c>
      <c r="C56" s="12">
        <v>24</v>
      </c>
      <c r="D56" s="12">
        <v>21</v>
      </c>
      <c r="E56" s="40">
        <f t="shared" si="0"/>
        <v>87.5</v>
      </c>
    </row>
    <row r="57" spans="1:5" ht="18" x14ac:dyDescent="0.3">
      <c r="A57" s="2">
        <v>53</v>
      </c>
      <c r="B57" s="7" t="s">
        <v>55</v>
      </c>
      <c r="C57" s="12">
        <v>24</v>
      </c>
      <c r="D57" s="12">
        <v>19</v>
      </c>
      <c r="E57" s="40">
        <f t="shared" si="0"/>
        <v>79.166666666666671</v>
      </c>
    </row>
    <row r="58" spans="1:5" ht="18" x14ac:dyDescent="0.3">
      <c r="A58" s="2">
        <v>54</v>
      </c>
      <c r="B58" s="7" t="s">
        <v>56</v>
      </c>
      <c r="C58" s="12">
        <v>24</v>
      </c>
      <c r="D58" s="12">
        <v>23</v>
      </c>
      <c r="E58" s="40">
        <f t="shared" si="0"/>
        <v>95.833333333333329</v>
      </c>
    </row>
    <row r="59" spans="1:5" ht="18" x14ac:dyDescent="0.3">
      <c r="A59" s="2">
        <v>55</v>
      </c>
      <c r="B59" s="7" t="s">
        <v>57</v>
      </c>
      <c r="C59" s="12">
        <v>24</v>
      </c>
      <c r="D59" s="12">
        <v>23</v>
      </c>
      <c r="E59" s="40">
        <f t="shared" si="0"/>
        <v>95.833333333333329</v>
      </c>
    </row>
    <row r="60" spans="1:5" ht="18" x14ac:dyDescent="0.3">
      <c r="A60" s="2">
        <v>56</v>
      </c>
      <c r="B60" s="7" t="s">
        <v>58</v>
      </c>
      <c r="C60" s="12">
        <v>24</v>
      </c>
      <c r="D60" s="12">
        <v>1</v>
      </c>
      <c r="E60" s="46">
        <f t="shared" si="0"/>
        <v>4.166666666666667</v>
      </c>
    </row>
    <row r="61" spans="1:5" ht="18" x14ac:dyDescent="0.3">
      <c r="A61" s="2">
        <v>57</v>
      </c>
      <c r="B61" s="7" t="s">
        <v>59</v>
      </c>
      <c r="C61" s="12">
        <v>24</v>
      </c>
      <c r="D61" s="12">
        <v>18</v>
      </c>
      <c r="E61" s="40">
        <f t="shared" si="0"/>
        <v>75</v>
      </c>
    </row>
    <row r="62" spans="1:5" ht="18" x14ac:dyDescent="0.3">
      <c r="A62" s="2">
        <v>58</v>
      </c>
      <c r="B62" s="7" t="s">
        <v>60</v>
      </c>
      <c r="C62" s="12">
        <v>24</v>
      </c>
      <c r="D62" s="12">
        <v>23</v>
      </c>
      <c r="E62" s="40">
        <f t="shared" si="0"/>
        <v>95.833333333333329</v>
      </c>
    </row>
    <row r="63" spans="1:5" ht="17.25" customHeight="1" x14ac:dyDescent="0.3">
      <c r="A63" s="2">
        <v>59</v>
      </c>
      <c r="B63" s="8" t="s">
        <v>61</v>
      </c>
      <c r="C63" s="12">
        <v>24</v>
      </c>
      <c r="D63" s="12">
        <v>20</v>
      </c>
      <c r="E63" s="40">
        <f t="shared" si="0"/>
        <v>83.333333333333329</v>
      </c>
    </row>
    <row r="64" spans="1:5" ht="18" x14ac:dyDescent="0.3">
      <c r="A64" s="2">
        <v>60</v>
      </c>
      <c r="B64" s="9" t="s">
        <v>62</v>
      </c>
      <c r="C64" s="12">
        <v>24</v>
      </c>
      <c r="D64" s="12">
        <v>20</v>
      </c>
      <c r="E64" s="40">
        <f t="shared" si="0"/>
        <v>83.333333333333329</v>
      </c>
    </row>
  </sheetData>
  <mergeCells count="3">
    <mergeCell ref="A1:E1"/>
    <mergeCell ref="A2:E2"/>
    <mergeCell ref="A3:D3"/>
  </mergeCells>
  <pageMargins left="1.08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workbookViewId="0">
      <selection activeCell="H115" sqref="H115"/>
    </sheetView>
  </sheetViews>
  <sheetFormatPr defaultColWidth="27.33203125" defaultRowHeight="14.4" x14ac:dyDescent="0.3"/>
  <cols>
    <col min="1" max="1" width="7.5546875" bestFit="1" customWidth="1"/>
    <col min="3" max="3" width="17.44140625" bestFit="1" customWidth="1"/>
    <col min="4" max="4" width="12.6640625" bestFit="1" customWidth="1"/>
    <col min="5" max="5" width="17.109375" bestFit="1" customWidth="1"/>
    <col min="6" max="6" width="7.5546875" bestFit="1" customWidth="1"/>
  </cols>
  <sheetData>
    <row r="1" spans="1:10" ht="15.75" x14ac:dyDescent="0.25">
      <c r="A1" s="116" t="s">
        <v>0</v>
      </c>
      <c r="B1" s="116"/>
      <c r="C1" s="116"/>
      <c r="D1" s="116"/>
      <c r="E1" s="116"/>
      <c r="F1" s="117"/>
      <c r="G1" s="117"/>
      <c r="H1" s="117"/>
      <c r="I1" s="117"/>
      <c r="J1" s="117"/>
    </row>
    <row r="2" spans="1:10" ht="26.25" x14ac:dyDescent="0.25">
      <c r="A2" s="102" t="s">
        <v>63</v>
      </c>
      <c r="B2" s="102"/>
      <c r="C2" s="102"/>
      <c r="D2" s="102"/>
      <c r="E2" s="102"/>
      <c r="F2" s="118"/>
      <c r="G2" s="118"/>
      <c r="H2" s="118"/>
      <c r="I2" s="118"/>
      <c r="J2" s="118"/>
    </row>
    <row r="3" spans="1:10" ht="21" x14ac:dyDescent="0.25">
      <c r="A3" s="115" t="s">
        <v>89</v>
      </c>
      <c r="B3" s="115"/>
      <c r="C3" s="115"/>
      <c r="D3" s="115"/>
      <c r="E3" s="43"/>
      <c r="F3" s="119"/>
      <c r="G3" s="119"/>
      <c r="H3" s="119"/>
      <c r="I3" s="119"/>
      <c r="J3" s="71"/>
    </row>
    <row r="4" spans="1:10" ht="18.75" x14ac:dyDescent="0.25">
      <c r="A4" s="19" t="s">
        <v>1</v>
      </c>
      <c r="B4" s="4" t="s">
        <v>2</v>
      </c>
      <c r="C4" s="70" t="s">
        <v>3</v>
      </c>
      <c r="D4" s="70" t="s">
        <v>4</v>
      </c>
      <c r="E4" s="44" t="s">
        <v>73</v>
      </c>
      <c r="F4" s="72"/>
      <c r="G4" s="73"/>
      <c r="H4" s="74"/>
      <c r="I4" s="74"/>
      <c r="J4" s="75"/>
    </row>
    <row r="5" spans="1:10" ht="18.75" x14ac:dyDescent="0.25">
      <c r="A5" s="83">
        <v>1</v>
      </c>
      <c r="B5" s="84" t="s">
        <v>5</v>
      </c>
      <c r="C5" s="85">
        <v>21</v>
      </c>
      <c r="D5" s="58">
        <v>16</v>
      </c>
      <c r="E5" s="86">
        <f>D5*100/C5</f>
        <v>76.19047619047619</v>
      </c>
      <c r="F5" s="76"/>
      <c r="G5" s="77"/>
      <c r="H5" s="78"/>
      <c r="I5" s="79"/>
      <c r="J5" s="80"/>
    </row>
    <row r="6" spans="1:10" ht="18.75" x14ac:dyDescent="0.25">
      <c r="A6" s="83">
        <v>2</v>
      </c>
      <c r="B6" s="84" t="s">
        <v>6</v>
      </c>
      <c r="C6" s="85">
        <v>21</v>
      </c>
      <c r="D6" s="58">
        <v>12</v>
      </c>
      <c r="E6" s="87">
        <f t="shared" ref="E6:E64" si="0">D6*100/C6</f>
        <v>57.142857142857146</v>
      </c>
      <c r="F6" s="76"/>
      <c r="G6" s="77"/>
      <c r="H6" s="78"/>
      <c r="I6" s="79"/>
      <c r="J6" s="81"/>
    </row>
    <row r="7" spans="1:10" ht="18.75" x14ac:dyDescent="0.25">
      <c r="A7" s="83">
        <v>3</v>
      </c>
      <c r="B7" s="84" t="s">
        <v>7</v>
      </c>
      <c r="C7" s="85">
        <v>21</v>
      </c>
      <c r="D7" s="58">
        <v>11</v>
      </c>
      <c r="E7" s="87">
        <f t="shared" si="0"/>
        <v>52.38095238095238</v>
      </c>
      <c r="F7" s="76"/>
      <c r="G7" s="77"/>
      <c r="H7" s="78"/>
      <c r="I7" s="79"/>
      <c r="J7" s="81"/>
    </row>
    <row r="8" spans="1:10" ht="31.5" x14ac:dyDescent="0.25">
      <c r="A8" s="83">
        <v>4</v>
      </c>
      <c r="B8" s="84" t="s">
        <v>8</v>
      </c>
      <c r="C8" s="85">
        <v>21</v>
      </c>
      <c r="D8" s="58">
        <v>8</v>
      </c>
      <c r="E8" s="87">
        <f t="shared" si="0"/>
        <v>38.095238095238095</v>
      </c>
      <c r="F8" s="76"/>
      <c r="G8" s="77"/>
      <c r="H8" s="78"/>
      <c r="I8" s="79"/>
      <c r="J8" s="81"/>
    </row>
    <row r="9" spans="1:10" ht="18.75" x14ac:dyDescent="0.25">
      <c r="A9" s="83">
        <v>5</v>
      </c>
      <c r="B9" s="84" t="s">
        <v>9</v>
      </c>
      <c r="C9" s="85">
        <v>21</v>
      </c>
      <c r="D9" s="58">
        <v>11</v>
      </c>
      <c r="E9" s="87">
        <f t="shared" si="0"/>
        <v>52.38095238095238</v>
      </c>
      <c r="F9" s="76"/>
      <c r="G9" s="77"/>
      <c r="H9" s="78"/>
      <c r="I9" s="79"/>
      <c r="J9" s="81"/>
    </row>
    <row r="10" spans="1:10" ht="18.75" x14ac:dyDescent="0.25">
      <c r="A10" s="83">
        <v>6</v>
      </c>
      <c r="B10" s="84" t="s">
        <v>10</v>
      </c>
      <c r="C10" s="85">
        <v>21</v>
      </c>
      <c r="D10" s="58">
        <v>9</v>
      </c>
      <c r="E10" s="87">
        <f t="shared" si="0"/>
        <v>42.857142857142854</v>
      </c>
      <c r="F10" s="76"/>
      <c r="G10" s="77"/>
      <c r="H10" s="78"/>
      <c r="I10" s="79"/>
      <c r="J10" s="81"/>
    </row>
    <row r="11" spans="1:10" ht="18.75" x14ac:dyDescent="0.25">
      <c r="A11" s="83">
        <v>7</v>
      </c>
      <c r="B11" s="84" t="s">
        <v>11</v>
      </c>
      <c r="C11" s="85">
        <v>21</v>
      </c>
      <c r="D11" s="58">
        <v>11</v>
      </c>
      <c r="E11" s="87">
        <f t="shared" si="0"/>
        <v>52.38095238095238</v>
      </c>
      <c r="F11" s="76"/>
      <c r="G11" s="77"/>
      <c r="H11" s="78"/>
      <c r="I11" s="79"/>
      <c r="J11" s="81"/>
    </row>
    <row r="12" spans="1:10" ht="18.75" x14ac:dyDescent="0.25">
      <c r="A12" s="83">
        <v>8</v>
      </c>
      <c r="B12" s="84" t="s">
        <v>12</v>
      </c>
      <c r="C12" s="85">
        <v>21</v>
      </c>
      <c r="D12" s="58">
        <v>15</v>
      </c>
      <c r="E12" s="87">
        <f t="shared" si="0"/>
        <v>71.428571428571431</v>
      </c>
      <c r="F12" s="76"/>
      <c r="G12" s="77"/>
      <c r="H12" s="78"/>
      <c r="I12" s="79"/>
      <c r="J12" s="81"/>
    </row>
    <row r="13" spans="1:10" ht="18.75" x14ac:dyDescent="0.25">
      <c r="A13" s="83">
        <v>9</v>
      </c>
      <c r="B13" s="84" t="s">
        <v>13</v>
      </c>
      <c r="C13" s="85">
        <v>21</v>
      </c>
      <c r="D13" s="58">
        <v>17</v>
      </c>
      <c r="E13" s="86">
        <f t="shared" si="0"/>
        <v>80.952380952380949</v>
      </c>
      <c r="F13" s="76"/>
      <c r="G13" s="77"/>
      <c r="H13" s="78"/>
      <c r="I13" s="79"/>
      <c r="J13" s="80"/>
    </row>
    <row r="14" spans="1:10" ht="18.75" x14ac:dyDescent="0.25">
      <c r="A14" s="83">
        <v>10</v>
      </c>
      <c r="B14" s="84" t="s">
        <v>14</v>
      </c>
      <c r="C14" s="85">
        <v>21</v>
      </c>
      <c r="D14" s="58">
        <v>10</v>
      </c>
      <c r="E14" s="87">
        <f t="shared" si="0"/>
        <v>47.61904761904762</v>
      </c>
      <c r="F14" s="76"/>
      <c r="G14" s="77"/>
      <c r="H14" s="78"/>
      <c r="I14" s="79"/>
      <c r="J14" s="81"/>
    </row>
    <row r="15" spans="1:10" ht="18.75" x14ac:dyDescent="0.25">
      <c r="A15" s="83">
        <v>11</v>
      </c>
      <c r="B15" s="84" t="s">
        <v>15</v>
      </c>
      <c r="C15" s="85">
        <v>21</v>
      </c>
      <c r="D15" s="58">
        <v>13</v>
      </c>
      <c r="E15" s="87">
        <f t="shared" si="0"/>
        <v>61.904761904761905</v>
      </c>
      <c r="F15" s="76"/>
      <c r="G15" s="77"/>
      <c r="H15" s="78"/>
      <c r="I15" s="79"/>
      <c r="J15" s="81"/>
    </row>
    <row r="16" spans="1:10" ht="18.75" x14ac:dyDescent="0.25">
      <c r="A16" s="83">
        <v>12</v>
      </c>
      <c r="B16" s="84" t="s">
        <v>16</v>
      </c>
      <c r="C16" s="85">
        <v>21</v>
      </c>
      <c r="D16" s="58">
        <v>8</v>
      </c>
      <c r="E16" s="87">
        <f t="shared" si="0"/>
        <v>38.095238095238095</v>
      </c>
      <c r="F16" s="76"/>
      <c r="G16" s="77"/>
      <c r="H16" s="78"/>
      <c r="I16" s="79"/>
      <c r="J16" s="81"/>
    </row>
    <row r="17" spans="1:10" ht="18.75" x14ac:dyDescent="0.25">
      <c r="A17" s="83">
        <v>13</v>
      </c>
      <c r="B17" s="84" t="s">
        <v>17</v>
      </c>
      <c r="C17" s="85">
        <v>21</v>
      </c>
      <c r="D17" s="58">
        <v>14</v>
      </c>
      <c r="E17" s="87">
        <f t="shared" si="0"/>
        <v>66.666666666666671</v>
      </c>
      <c r="F17" s="76"/>
      <c r="G17" s="77"/>
      <c r="H17" s="78"/>
      <c r="I17" s="79"/>
      <c r="J17" s="81"/>
    </row>
    <row r="18" spans="1:10" ht="18.75" x14ac:dyDescent="0.25">
      <c r="A18" s="83">
        <v>14</v>
      </c>
      <c r="B18" s="84" t="s">
        <v>18</v>
      </c>
      <c r="C18" s="85">
        <v>21</v>
      </c>
      <c r="D18" s="58">
        <v>16</v>
      </c>
      <c r="E18" s="86">
        <f t="shared" si="0"/>
        <v>76.19047619047619</v>
      </c>
      <c r="F18" s="76"/>
      <c r="G18" s="77"/>
      <c r="H18" s="78"/>
      <c r="I18" s="79"/>
      <c r="J18" s="80"/>
    </row>
    <row r="19" spans="1:10" ht="18.75" x14ac:dyDescent="0.25">
      <c r="A19" s="83">
        <v>15</v>
      </c>
      <c r="B19" s="84" t="s">
        <v>19</v>
      </c>
      <c r="C19" s="85">
        <v>21</v>
      </c>
      <c r="D19" s="58">
        <v>13</v>
      </c>
      <c r="E19" s="87">
        <f t="shared" si="0"/>
        <v>61.904761904761905</v>
      </c>
      <c r="F19" s="76"/>
      <c r="G19" s="77"/>
      <c r="H19" s="78"/>
      <c r="I19" s="79"/>
      <c r="J19" s="81"/>
    </row>
    <row r="20" spans="1:10" ht="18.75" x14ac:dyDescent="0.25">
      <c r="A20" s="83">
        <v>16</v>
      </c>
      <c r="B20" s="84" t="s">
        <v>71</v>
      </c>
      <c r="C20" s="85">
        <v>21</v>
      </c>
      <c r="D20" s="58">
        <v>7</v>
      </c>
      <c r="E20" s="87">
        <f t="shared" si="0"/>
        <v>33.333333333333336</v>
      </c>
      <c r="F20" s="76"/>
      <c r="G20" s="77"/>
      <c r="H20" s="78"/>
      <c r="I20" s="79"/>
      <c r="J20" s="81"/>
    </row>
    <row r="21" spans="1:10" ht="18.75" x14ac:dyDescent="0.25">
      <c r="A21" s="83">
        <v>17</v>
      </c>
      <c r="B21" s="84" t="s">
        <v>20</v>
      </c>
      <c r="C21" s="85">
        <v>21</v>
      </c>
      <c r="D21" s="58">
        <v>17</v>
      </c>
      <c r="E21" s="86">
        <f t="shared" si="0"/>
        <v>80.952380952380949</v>
      </c>
      <c r="F21" s="76"/>
      <c r="G21" s="77"/>
      <c r="H21" s="78"/>
      <c r="I21" s="79"/>
      <c r="J21" s="80"/>
    </row>
    <row r="22" spans="1:10" ht="18.75" x14ac:dyDescent="0.25">
      <c r="A22" s="83">
        <v>18</v>
      </c>
      <c r="B22" s="84" t="s">
        <v>21</v>
      </c>
      <c r="C22" s="85">
        <v>21</v>
      </c>
      <c r="D22" s="58">
        <v>12</v>
      </c>
      <c r="E22" s="87">
        <f t="shared" si="0"/>
        <v>57.142857142857146</v>
      </c>
      <c r="F22" s="76"/>
      <c r="G22" s="77"/>
      <c r="H22" s="78"/>
      <c r="I22" s="79"/>
      <c r="J22" s="81"/>
    </row>
    <row r="23" spans="1:10" ht="18.75" x14ac:dyDescent="0.25">
      <c r="A23" s="83">
        <v>19</v>
      </c>
      <c r="B23" s="84" t="s">
        <v>22</v>
      </c>
      <c r="C23" s="85">
        <v>21</v>
      </c>
      <c r="D23" s="58">
        <v>15</v>
      </c>
      <c r="E23" s="87">
        <f t="shared" si="0"/>
        <v>71.428571428571431</v>
      </c>
      <c r="F23" s="76"/>
      <c r="G23" s="77"/>
      <c r="H23" s="78"/>
      <c r="I23" s="79"/>
      <c r="J23" s="81"/>
    </row>
    <row r="24" spans="1:10" ht="18.75" x14ac:dyDescent="0.25">
      <c r="A24" s="83">
        <v>20</v>
      </c>
      <c r="B24" s="84" t="s">
        <v>23</v>
      </c>
      <c r="C24" s="85">
        <v>21</v>
      </c>
      <c r="D24" s="58">
        <v>15</v>
      </c>
      <c r="E24" s="87">
        <f t="shared" si="0"/>
        <v>71.428571428571431</v>
      </c>
      <c r="F24" s="76"/>
      <c r="G24" s="77"/>
      <c r="H24" s="78"/>
      <c r="I24" s="79"/>
      <c r="J24" s="81"/>
    </row>
    <row r="25" spans="1:10" ht="18.75" x14ac:dyDescent="0.25">
      <c r="A25" s="83">
        <v>21</v>
      </c>
      <c r="B25" s="84" t="s">
        <v>24</v>
      </c>
      <c r="C25" s="85">
        <v>21</v>
      </c>
      <c r="D25" s="58">
        <v>18</v>
      </c>
      <c r="E25" s="86">
        <f t="shared" si="0"/>
        <v>85.714285714285708</v>
      </c>
      <c r="F25" s="76"/>
      <c r="G25" s="77"/>
      <c r="H25" s="78"/>
      <c r="I25" s="79"/>
      <c r="J25" s="80"/>
    </row>
    <row r="26" spans="1:10" ht="18.75" x14ac:dyDescent="0.25">
      <c r="A26" s="83">
        <v>22</v>
      </c>
      <c r="B26" s="84" t="s">
        <v>25</v>
      </c>
      <c r="C26" s="85">
        <v>21</v>
      </c>
      <c r="D26" s="58">
        <v>15</v>
      </c>
      <c r="E26" s="87">
        <f t="shared" si="0"/>
        <v>71.428571428571431</v>
      </c>
      <c r="F26" s="76"/>
      <c r="G26" s="77"/>
      <c r="H26" s="78"/>
      <c r="I26" s="79"/>
      <c r="J26" s="81"/>
    </row>
    <row r="27" spans="1:10" ht="18.75" x14ac:dyDescent="0.25">
      <c r="A27" s="83">
        <v>23</v>
      </c>
      <c r="B27" s="84" t="s">
        <v>26</v>
      </c>
      <c r="C27" s="85">
        <v>21</v>
      </c>
      <c r="D27" s="58">
        <v>16</v>
      </c>
      <c r="E27" s="86">
        <f t="shared" si="0"/>
        <v>76.19047619047619</v>
      </c>
      <c r="F27" s="76"/>
      <c r="G27" s="77"/>
      <c r="H27" s="78"/>
      <c r="I27" s="79"/>
      <c r="J27" s="80"/>
    </row>
    <row r="28" spans="1:10" ht="18.75" x14ac:dyDescent="0.25">
      <c r="A28" s="83">
        <v>24</v>
      </c>
      <c r="B28" s="84" t="s">
        <v>27</v>
      </c>
      <c r="C28" s="85">
        <v>21</v>
      </c>
      <c r="D28" s="58">
        <v>15</v>
      </c>
      <c r="E28" s="87">
        <f t="shared" si="0"/>
        <v>71.428571428571431</v>
      </c>
      <c r="F28" s="76"/>
      <c r="G28" s="77"/>
      <c r="H28" s="78"/>
      <c r="I28" s="79"/>
      <c r="J28" s="81"/>
    </row>
    <row r="29" spans="1:10" ht="18.75" x14ac:dyDescent="0.25">
      <c r="A29" s="83">
        <v>25</v>
      </c>
      <c r="B29" s="84" t="s">
        <v>28</v>
      </c>
      <c r="C29" s="85">
        <v>21</v>
      </c>
      <c r="D29" s="58">
        <v>14</v>
      </c>
      <c r="E29" s="87">
        <f t="shared" si="0"/>
        <v>66.666666666666671</v>
      </c>
      <c r="F29" s="76"/>
      <c r="G29" s="77"/>
      <c r="H29" s="78"/>
      <c r="I29" s="79"/>
      <c r="J29" s="81"/>
    </row>
    <row r="30" spans="1:10" ht="18.75" x14ac:dyDescent="0.25">
      <c r="A30" s="83">
        <v>26</v>
      </c>
      <c r="B30" s="84" t="s">
        <v>29</v>
      </c>
      <c r="C30" s="85">
        <v>21</v>
      </c>
      <c r="D30" s="58">
        <v>13</v>
      </c>
      <c r="E30" s="87">
        <f t="shared" si="0"/>
        <v>61.904761904761905</v>
      </c>
      <c r="F30" s="76"/>
      <c r="G30" s="77"/>
      <c r="H30" s="78"/>
      <c r="I30" s="79"/>
      <c r="J30" s="81"/>
    </row>
    <row r="31" spans="1:10" ht="18.75" x14ac:dyDescent="0.25">
      <c r="A31" s="83">
        <v>27</v>
      </c>
      <c r="B31" s="84" t="s">
        <v>30</v>
      </c>
      <c r="C31" s="85">
        <v>21</v>
      </c>
      <c r="D31" s="58">
        <v>14</v>
      </c>
      <c r="E31" s="87">
        <f t="shared" si="0"/>
        <v>66.666666666666671</v>
      </c>
      <c r="F31" s="76"/>
      <c r="G31" s="77"/>
      <c r="H31" s="78"/>
      <c r="I31" s="79"/>
      <c r="J31" s="81"/>
    </row>
    <row r="32" spans="1:10" ht="18.75" x14ac:dyDescent="0.25">
      <c r="A32" s="83">
        <v>28</v>
      </c>
      <c r="B32" s="84" t="s">
        <v>31</v>
      </c>
      <c r="C32" s="85">
        <v>21</v>
      </c>
      <c r="D32" s="58">
        <v>14</v>
      </c>
      <c r="E32" s="87">
        <f t="shared" si="0"/>
        <v>66.666666666666671</v>
      </c>
      <c r="F32" s="76"/>
      <c r="G32" s="77"/>
      <c r="H32" s="78"/>
      <c r="I32" s="79"/>
      <c r="J32" s="81"/>
    </row>
    <row r="33" spans="1:10" ht="18.75" x14ac:dyDescent="0.25">
      <c r="A33" s="83">
        <v>29</v>
      </c>
      <c r="B33" s="84" t="s">
        <v>32</v>
      </c>
      <c r="C33" s="85">
        <v>21</v>
      </c>
      <c r="D33" s="58">
        <v>17</v>
      </c>
      <c r="E33" s="86">
        <f t="shared" si="0"/>
        <v>80.952380952380949</v>
      </c>
      <c r="F33" s="76"/>
      <c r="G33" s="77"/>
      <c r="H33" s="78"/>
      <c r="I33" s="79"/>
      <c r="J33" s="80"/>
    </row>
    <row r="34" spans="1:10" ht="18.75" x14ac:dyDescent="0.25">
      <c r="A34" s="83">
        <v>30</v>
      </c>
      <c r="B34" s="84" t="s">
        <v>33</v>
      </c>
      <c r="C34" s="85">
        <v>21</v>
      </c>
      <c r="D34" s="58">
        <v>18</v>
      </c>
      <c r="E34" s="86">
        <f t="shared" si="0"/>
        <v>85.714285714285708</v>
      </c>
      <c r="F34" s="76"/>
      <c r="G34" s="77"/>
      <c r="H34" s="78"/>
      <c r="I34" s="79"/>
      <c r="J34" s="80"/>
    </row>
    <row r="35" spans="1:10" ht="18.75" x14ac:dyDescent="0.25">
      <c r="A35" s="83">
        <v>31</v>
      </c>
      <c r="B35" s="84" t="s">
        <v>34</v>
      </c>
      <c r="C35" s="85">
        <v>21</v>
      </c>
      <c r="D35" s="58">
        <v>14</v>
      </c>
      <c r="E35" s="87">
        <f t="shared" si="0"/>
        <v>66.666666666666671</v>
      </c>
      <c r="F35" s="76"/>
      <c r="G35" s="77"/>
      <c r="H35" s="78"/>
      <c r="I35" s="79"/>
      <c r="J35" s="81"/>
    </row>
    <row r="36" spans="1:10" ht="18.75" x14ac:dyDescent="0.25">
      <c r="A36" s="83">
        <v>32</v>
      </c>
      <c r="B36" s="84" t="s">
        <v>35</v>
      </c>
      <c r="C36" s="85">
        <v>21</v>
      </c>
      <c r="D36" s="58">
        <v>13</v>
      </c>
      <c r="E36" s="87">
        <f t="shared" si="0"/>
        <v>61.904761904761905</v>
      </c>
      <c r="F36" s="76"/>
      <c r="G36" s="77"/>
      <c r="H36" s="78"/>
      <c r="I36" s="79"/>
      <c r="J36" s="81"/>
    </row>
    <row r="37" spans="1:10" ht="18.75" x14ac:dyDescent="0.25">
      <c r="A37" s="83">
        <v>33</v>
      </c>
      <c r="B37" s="84" t="s">
        <v>36</v>
      </c>
      <c r="C37" s="85">
        <v>21</v>
      </c>
      <c r="D37" s="58">
        <v>13</v>
      </c>
      <c r="E37" s="87">
        <f t="shared" si="0"/>
        <v>61.904761904761905</v>
      </c>
      <c r="F37" s="76"/>
      <c r="G37" s="77"/>
      <c r="H37" s="78"/>
      <c r="I37" s="79"/>
      <c r="J37" s="81"/>
    </row>
    <row r="38" spans="1:10" ht="18.75" x14ac:dyDescent="0.25">
      <c r="A38" s="83">
        <v>34</v>
      </c>
      <c r="B38" s="84" t="s">
        <v>37</v>
      </c>
      <c r="C38" s="85">
        <v>21</v>
      </c>
      <c r="D38" s="58">
        <v>14</v>
      </c>
      <c r="E38" s="87">
        <f t="shared" si="0"/>
        <v>66.666666666666671</v>
      </c>
      <c r="F38" s="76"/>
      <c r="G38" s="77"/>
      <c r="H38" s="78"/>
      <c r="I38" s="79"/>
      <c r="J38" s="81"/>
    </row>
    <row r="39" spans="1:10" ht="31.5" x14ac:dyDescent="0.25">
      <c r="A39" s="83">
        <v>35</v>
      </c>
      <c r="B39" s="84" t="s">
        <v>67</v>
      </c>
      <c r="C39" s="85">
        <v>21</v>
      </c>
      <c r="D39" s="58">
        <v>18</v>
      </c>
      <c r="E39" s="86">
        <f t="shared" si="0"/>
        <v>85.714285714285708</v>
      </c>
      <c r="F39" s="76"/>
      <c r="G39" s="77"/>
      <c r="H39" s="78"/>
      <c r="I39" s="79"/>
      <c r="J39" s="80"/>
    </row>
    <row r="40" spans="1:10" ht="18.75" x14ac:dyDescent="0.25">
      <c r="A40" s="83">
        <v>36</v>
      </c>
      <c r="B40" s="84" t="s">
        <v>38</v>
      </c>
      <c r="C40" s="85">
        <v>21</v>
      </c>
      <c r="D40" s="58">
        <v>15</v>
      </c>
      <c r="E40" s="87">
        <f t="shared" si="0"/>
        <v>71.428571428571431</v>
      </c>
      <c r="F40" s="76"/>
      <c r="G40" s="77"/>
      <c r="H40" s="78"/>
      <c r="I40" s="79"/>
      <c r="J40" s="81"/>
    </row>
    <row r="41" spans="1:10" ht="18.75" x14ac:dyDescent="0.25">
      <c r="A41" s="83">
        <v>37</v>
      </c>
      <c r="B41" s="84" t="s">
        <v>39</v>
      </c>
      <c r="C41" s="85">
        <v>21</v>
      </c>
      <c r="D41" s="58">
        <v>13</v>
      </c>
      <c r="E41" s="87">
        <f t="shared" si="0"/>
        <v>61.904761904761905</v>
      </c>
      <c r="F41" s="76"/>
      <c r="G41" s="77"/>
      <c r="H41" s="78"/>
      <c r="I41" s="79"/>
      <c r="J41" s="81"/>
    </row>
    <row r="42" spans="1:10" ht="18.75" x14ac:dyDescent="0.25">
      <c r="A42" s="83">
        <v>38</v>
      </c>
      <c r="B42" s="84" t="s">
        <v>40</v>
      </c>
      <c r="C42" s="85">
        <v>21</v>
      </c>
      <c r="D42" s="58">
        <v>19</v>
      </c>
      <c r="E42" s="86">
        <f t="shared" si="0"/>
        <v>90.476190476190482</v>
      </c>
      <c r="F42" s="76"/>
      <c r="G42" s="77"/>
      <c r="H42" s="78"/>
      <c r="I42" s="79"/>
      <c r="J42" s="80"/>
    </row>
    <row r="43" spans="1:10" ht="18.75" x14ac:dyDescent="0.25">
      <c r="A43" s="83">
        <v>39</v>
      </c>
      <c r="B43" s="84" t="s">
        <v>41</v>
      </c>
      <c r="C43" s="85">
        <v>21</v>
      </c>
      <c r="D43" s="58">
        <v>13</v>
      </c>
      <c r="E43" s="87">
        <f t="shared" si="0"/>
        <v>61.904761904761905</v>
      </c>
      <c r="F43" s="76"/>
      <c r="G43" s="77"/>
      <c r="H43" s="78"/>
      <c r="I43" s="79"/>
      <c r="J43" s="81"/>
    </row>
    <row r="44" spans="1:10" ht="18.75" x14ac:dyDescent="0.25">
      <c r="A44" s="83">
        <v>40</v>
      </c>
      <c r="B44" s="84" t="s">
        <v>42</v>
      </c>
      <c r="C44" s="85">
        <v>21</v>
      </c>
      <c r="D44" s="58">
        <v>15</v>
      </c>
      <c r="E44" s="87">
        <f t="shared" si="0"/>
        <v>71.428571428571431</v>
      </c>
      <c r="F44" s="76"/>
      <c r="G44" s="77"/>
      <c r="H44" s="78"/>
      <c r="I44" s="79"/>
      <c r="J44" s="81"/>
    </row>
    <row r="45" spans="1:10" ht="18.75" x14ac:dyDescent="0.25">
      <c r="A45" s="83">
        <v>41</v>
      </c>
      <c r="B45" s="84" t="s">
        <v>43</v>
      </c>
      <c r="C45" s="85">
        <v>21</v>
      </c>
      <c r="D45" s="58">
        <v>16</v>
      </c>
      <c r="E45" s="86">
        <f t="shared" si="0"/>
        <v>76.19047619047619</v>
      </c>
      <c r="F45" s="76"/>
      <c r="G45" s="77"/>
      <c r="H45" s="78"/>
      <c r="I45" s="79"/>
      <c r="J45" s="80"/>
    </row>
    <row r="46" spans="1:10" ht="18.75" x14ac:dyDescent="0.25">
      <c r="A46" s="83">
        <v>42</v>
      </c>
      <c r="B46" s="84" t="s">
        <v>44</v>
      </c>
      <c r="C46" s="85">
        <v>21</v>
      </c>
      <c r="D46" s="58">
        <v>18</v>
      </c>
      <c r="E46" s="86">
        <f t="shared" si="0"/>
        <v>85.714285714285708</v>
      </c>
      <c r="F46" s="76"/>
      <c r="G46" s="77"/>
      <c r="H46" s="78"/>
      <c r="I46" s="79"/>
      <c r="J46" s="80"/>
    </row>
    <row r="47" spans="1:10" ht="18.75" x14ac:dyDescent="0.25">
      <c r="A47" s="83">
        <v>43</v>
      </c>
      <c r="B47" s="84" t="s">
        <v>45</v>
      </c>
      <c r="C47" s="85">
        <v>21</v>
      </c>
      <c r="D47" s="58">
        <v>15</v>
      </c>
      <c r="E47" s="87">
        <f t="shared" si="0"/>
        <v>71.428571428571431</v>
      </c>
      <c r="F47" s="76"/>
      <c r="G47" s="77"/>
      <c r="H47" s="78"/>
      <c r="I47" s="79"/>
      <c r="J47" s="81"/>
    </row>
    <row r="48" spans="1:10" ht="18.75" x14ac:dyDescent="0.25">
      <c r="A48" s="83">
        <v>44</v>
      </c>
      <c r="B48" s="84" t="s">
        <v>46</v>
      </c>
      <c r="C48" s="85">
        <v>21</v>
      </c>
      <c r="D48" s="58">
        <v>12</v>
      </c>
      <c r="E48" s="87">
        <f t="shared" si="0"/>
        <v>57.142857142857146</v>
      </c>
      <c r="F48" s="76"/>
      <c r="G48" s="77"/>
      <c r="H48" s="78"/>
      <c r="I48" s="79"/>
      <c r="J48" s="81"/>
    </row>
    <row r="49" spans="1:10" ht="18.75" x14ac:dyDescent="0.25">
      <c r="A49" s="83">
        <v>45</v>
      </c>
      <c r="B49" s="84" t="s">
        <v>47</v>
      </c>
      <c r="C49" s="85">
        <v>21</v>
      </c>
      <c r="D49" s="58">
        <v>14</v>
      </c>
      <c r="E49" s="87">
        <f t="shared" si="0"/>
        <v>66.666666666666671</v>
      </c>
      <c r="F49" s="76"/>
      <c r="G49" s="77"/>
      <c r="H49" s="78"/>
      <c r="I49" s="79"/>
      <c r="J49" s="81"/>
    </row>
    <row r="50" spans="1:10" ht="18.75" x14ac:dyDescent="0.25">
      <c r="A50" s="83">
        <v>46</v>
      </c>
      <c r="B50" s="84" t="s">
        <v>48</v>
      </c>
      <c r="C50" s="85">
        <v>21</v>
      </c>
      <c r="D50" s="58">
        <v>16</v>
      </c>
      <c r="E50" s="86">
        <f t="shared" si="0"/>
        <v>76.19047619047619</v>
      </c>
      <c r="F50" s="76"/>
      <c r="G50" s="77"/>
      <c r="H50" s="78"/>
      <c r="I50" s="79"/>
      <c r="J50" s="80"/>
    </row>
    <row r="51" spans="1:10" ht="18.75" x14ac:dyDescent="0.25">
      <c r="A51" s="83">
        <v>47</v>
      </c>
      <c r="B51" s="84" t="s">
        <v>49</v>
      </c>
      <c r="C51" s="85">
        <v>21</v>
      </c>
      <c r="D51" s="58">
        <v>15</v>
      </c>
      <c r="E51" s="88">
        <f t="shared" si="0"/>
        <v>71.428571428571431</v>
      </c>
      <c r="F51" s="76"/>
      <c r="G51" s="77"/>
      <c r="H51" s="78"/>
      <c r="I51" s="79"/>
      <c r="J51" s="82"/>
    </row>
    <row r="52" spans="1:10" ht="18.75" x14ac:dyDescent="0.25">
      <c r="A52" s="83">
        <v>48</v>
      </c>
      <c r="B52" s="84" t="s">
        <v>50</v>
      </c>
      <c r="C52" s="85">
        <v>21</v>
      </c>
      <c r="D52" s="58">
        <v>16</v>
      </c>
      <c r="E52" s="86">
        <f t="shared" si="0"/>
        <v>76.19047619047619</v>
      </c>
      <c r="F52" s="76"/>
      <c r="G52" s="77"/>
      <c r="H52" s="78"/>
      <c r="I52" s="79"/>
      <c r="J52" s="80"/>
    </row>
    <row r="53" spans="1:10" ht="18.75" x14ac:dyDescent="0.25">
      <c r="A53" s="83">
        <v>49</v>
      </c>
      <c r="B53" s="84" t="s">
        <v>51</v>
      </c>
      <c r="C53" s="85">
        <v>21</v>
      </c>
      <c r="D53" s="58">
        <v>16</v>
      </c>
      <c r="E53" s="86">
        <f t="shared" si="0"/>
        <v>76.19047619047619</v>
      </c>
      <c r="F53" s="76"/>
      <c r="G53" s="77"/>
      <c r="H53" s="78"/>
      <c r="I53" s="79"/>
      <c r="J53" s="80"/>
    </row>
    <row r="54" spans="1:10" ht="18.75" x14ac:dyDescent="0.25">
      <c r="A54" s="83">
        <v>50</v>
      </c>
      <c r="B54" s="84" t="s">
        <v>52</v>
      </c>
      <c r="C54" s="85">
        <v>21</v>
      </c>
      <c r="D54" s="58">
        <v>18</v>
      </c>
      <c r="E54" s="86">
        <f t="shared" si="0"/>
        <v>85.714285714285708</v>
      </c>
      <c r="F54" s="76"/>
      <c r="G54" s="77"/>
      <c r="H54" s="78"/>
      <c r="I54" s="79"/>
      <c r="J54" s="80"/>
    </row>
    <row r="55" spans="1:10" ht="18.75" x14ac:dyDescent="0.25">
      <c r="A55" s="83">
        <v>51</v>
      </c>
      <c r="B55" s="84" t="s">
        <v>53</v>
      </c>
      <c r="C55" s="85">
        <v>21</v>
      </c>
      <c r="D55" s="58">
        <v>15</v>
      </c>
      <c r="E55" s="88">
        <f t="shared" si="0"/>
        <v>71.428571428571431</v>
      </c>
      <c r="F55" s="76"/>
      <c r="G55" s="77"/>
      <c r="H55" s="78"/>
      <c r="I55" s="79"/>
      <c r="J55" s="82"/>
    </row>
    <row r="56" spans="1:10" ht="18.75" x14ac:dyDescent="0.25">
      <c r="A56" s="83">
        <v>52</v>
      </c>
      <c r="B56" s="84" t="s">
        <v>54</v>
      </c>
      <c r="C56" s="85">
        <v>21</v>
      </c>
      <c r="D56" s="58">
        <v>15</v>
      </c>
      <c r="E56" s="88">
        <f t="shared" si="0"/>
        <v>71.428571428571431</v>
      </c>
      <c r="F56" s="76"/>
      <c r="G56" s="77"/>
      <c r="H56" s="78"/>
      <c r="I56" s="79"/>
      <c r="J56" s="82"/>
    </row>
    <row r="57" spans="1:10" ht="18.75" x14ac:dyDescent="0.25">
      <c r="A57" s="83">
        <v>53</v>
      </c>
      <c r="B57" s="84" t="s">
        <v>55</v>
      </c>
      <c r="C57" s="85">
        <v>21</v>
      </c>
      <c r="D57" s="58">
        <v>15</v>
      </c>
      <c r="E57" s="88">
        <f t="shared" si="0"/>
        <v>71.428571428571431</v>
      </c>
      <c r="F57" s="76"/>
      <c r="G57" s="77"/>
      <c r="H57" s="78"/>
      <c r="I57" s="79"/>
      <c r="J57" s="82"/>
    </row>
    <row r="58" spans="1:10" ht="18.75" x14ac:dyDescent="0.25">
      <c r="A58" s="83">
        <v>54</v>
      </c>
      <c r="B58" s="84" t="s">
        <v>56</v>
      </c>
      <c r="C58" s="85">
        <v>21</v>
      </c>
      <c r="D58" s="58">
        <v>18</v>
      </c>
      <c r="E58" s="86">
        <f t="shared" si="0"/>
        <v>85.714285714285708</v>
      </c>
      <c r="F58" s="76"/>
      <c r="G58" s="77"/>
      <c r="H58" s="78"/>
      <c r="I58" s="79"/>
      <c r="J58" s="80"/>
    </row>
    <row r="59" spans="1:10" ht="18.75" x14ac:dyDescent="0.25">
      <c r="A59" s="83">
        <v>55</v>
      </c>
      <c r="B59" s="84" t="s">
        <v>57</v>
      </c>
      <c r="C59" s="85">
        <v>21</v>
      </c>
      <c r="D59" s="58">
        <v>16</v>
      </c>
      <c r="E59" s="86">
        <f t="shared" si="0"/>
        <v>76.19047619047619</v>
      </c>
      <c r="F59" s="76"/>
      <c r="G59" s="77"/>
      <c r="H59" s="78"/>
      <c r="I59" s="79"/>
      <c r="J59" s="80"/>
    </row>
    <row r="60" spans="1:10" ht="18.75" x14ac:dyDescent="0.25">
      <c r="A60" s="83">
        <v>56</v>
      </c>
      <c r="B60" s="84" t="s">
        <v>58</v>
      </c>
      <c r="C60" s="85">
        <v>21</v>
      </c>
      <c r="D60" s="58">
        <v>8</v>
      </c>
      <c r="E60" s="88">
        <f t="shared" si="0"/>
        <v>38.095238095238095</v>
      </c>
      <c r="F60" s="76"/>
      <c r="G60" s="77"/>
      <c r="H60" s="78"/>
      <c r="I60" s="79"/>
      <c r="J60" s="82"/>
    </row>
    <row r="61" spans="1:10" ht="18.75" x14ac:dyDescent="0.25">
      <c r="A61" s="83">
        <v>57</v>
      </c>
      <c r="B61" s="84" t="s">
        <v>59</v>
      </c>
      <c r="C61" s="85">
        <v>21</v>
      </c>
      <c r="D61" s="58">
        <v>15</v>
      </c>
      <c r="E61" s="88">
        <f t="shared" si="0"/>
        <v>71.428571428571431</v>
      </c>
      <c r="F61" s="76"/>
      <c r="G61" s="77"/>
      <c r="H61" s="78"/>
      <c r="I61" s="79"/>
      <c r="J61" s="82"/>
    </row>
    <row r="62" spans="1:10" ht="31.5" x14ac:dyDescent="0.25">
      <c r="A62" s="83">
        <v>58</v>
      </c>
      <c r="B62" s="84" t="s">
        <v>60</v>
      </c>
      <c r="C62" s="85">
        <v>21</v>
      </c>
      <c r="D62" s="58">
        <v>14</v>
      </c>
      <c r="E62" s="88">
        <f t="shared" si="0"/>
        <v>66.666666666666671</v>
      </c>
      <c r="F62" s="76"/>
      <c r="G62" s="77"/>
      <c r="H62" s="78"/>
      <c r="I62" s="79"/>
      <c r="J62" s="82"/>
    </row>
    <row r="63" spans="1:10" ht="31.5" x14ac:dyDescent="0.25">
      <c r="A63" s="83">
        <v>59</v>
      </c>
      <c r="B63" s="84" t="s">
        <v>61</v>
      </c>
      <c r="C63" s="85">
        <v>21</v>
      </c>
      <c r="D63" s="58">
        <v>18</v>
      </c>
      <c r="E63" s="86">
        <f t="shared" si="0"/>
        <v>85.714285714285708</v>
      </c>
      <c r="F63" s="76"/>
      <c r="G63" s="77"/>
      <c r="H63" s="78"/>
      <c r="I63" s="79"/>
      <c r="J63" s="80"/>
    </row>
    <row r="64" spans="1:10" ht="18.75" x14ac:dyDescent="0.25">
      <c r="A64" s="83">
        <v>60</v>
      </c>
      <c r="B64" s="84" t="s">
        <v>62</v>
      </c>
      <c r="C64" s="85">
        <v>21</v>
      </c>
      <c r="D64" s="58">
        <v>16</v>
      </c>
      <c r="E64" s="86">
        <f t="shared" si="0"/>
        <v>76.19047619047619</v>
      </c>
      <c r="F64" s="76"/>
      <c r="G64" s="77"/>
      <c r="H64" s="78"/>
      <c r="I64" s="79"/>
      <c r="J64" s="80"/>
    </row>
    <row r="65" spans="1:7" ht="93.75" customHeight="1" x14ac:dyDescent="0.25">
      <c r="G65" s="77"/>
    </row>
    <row r="66" spans="1:7" ht="15.75" x14ac:dyDescent="0.25">
      <c r="A66" s="116" t="s">
        <v>0</v>
      </c>
      <c r="B66" s="116"/>
      <c r="C66" s="116"/>
      <c r="D66" s="116"/>
      <c r="E66" s="116"/>
    </row>
    <row r="67" spans="1:7" ht="26.25" x14ac:dyDescent="0.25">
      <c r="A67" s="102" t="s">
        <v>63</v>
      </c>
      <c r="B67" s="102"/>
      <c r="C67" s="102"/>
      <c r="D67" s="102"/>
      <c r="E67" s="102"/>
    </row>
    <row r="68" spans="1:7" ht="21" x14ac:dyDescent="0.25">
      <c r="A68" s="115" t="s">
        <v>91</v>
      </c>
      <c r="B68" s="115"/>
      <c r="C68" s="115"/>
      <c r="D68" s="115"/>
      <c r="E68" s="43"/>
    </row>
    <row r="69" spans="1:7" ht="18.75" x14ac:dyDescent="0.25">
      <c r="A69" s="19" t="s">
        <v>1</v>
      </c>
      <c r="B69" s="4" t="s">
        <v>2</v>
      </c>
      <c r="C69" s="70" t="s">
        <v>3</v>
      </c>
      <c r="D69" s="70" t="s">
        <v>4</v>
      </c>
      <c r="E69" s="44" t="s">
        <v>73</v>
      </c>
    </row>
    <row r="70" spans="1:7" ht="18.75" x14ac:dyDescent="0.25">
      <c r="A70" s="83">
        <v>1</v>
      </c>
      <c r="B70" s="84" t="s">
        <v>5</v>
      </c>
      <c r="C70" s="54">
        <v>23</v>
      </c>
      <c r="D70" s="53">
        <v>19</v>
      </c>
      <c r="E70" s="86">
        <f>D70*100/C70</f>
        <v>82.608695652173907</v>
      </c>
    </row>
    <row r="71" spans="1:7" ht="18.75" x14ac:dyDescent="0.25">
      <c r="A71" s="83">
        <v>2</v>
      </c>
      <c r="B71" s="84" t="s">
        <v>6</v>
      </c>
      <c r="C71" s="54">
        <v>23</v>
      </c>
      <c r="D71" s="53">
        <v>22</v>
      </c>
      <c r="E71" s="86">
        <f t="shared" ref="E71:E129" si="1">D71*100/C71</f>
        <v>95.652173913043484</v>
      </c>
    </row>
    <row r="72" spans="1:7" ht="18.75" x14ac:dyDescent="0.25">
      <c r="A72" s="83">
        <v>3</v>
      </c>
      <c r="B72" s="84" t="s">
        <v>7</v>
      </c>
      <c r="C72" s="54">
        <v>23</v>
      </c>
      <c r="D72" s="53">
        <v>22</v>
      </c>
      <c r="E72" s="86">
        <f t="shared" si="1"/>
        <v>95.652173913043484</v>
      </c>
    </row>
    <row r="73" spans="1:7" ht="31.5" x14ac:dyDescent="0.25">
      <c r="A73" s="83">
        <v>4</v>
      </c>
      <c r="B73" s="84" t="s">
        <v>8</v>
      </c>
      <c r="C73" s="54">
        <v>23</v>
      </c>
      <c r="D73" s="53">
        <v>0</v>
      </c>
      <c r="E73" s="90">
        <f t="shared" si="1"/>
        <v>0</v>
      </c>
    </row>
    <row r="74" spans="1:7" ht="18.75" x14ac:dyDescent="0.25">
      <c r="A74" s="83">
        <v>5</v>
      </c>
      <c r="B74" s="84" t="s">
        <v>9</v>
      </c>
      <c r="C74" s="54">
        <v>23</v>
      </c>
      <c r="D74" s="53">
        <v>21</v>
      </c>
      <c r="E74" s="86">
        <f t="shared" si="1"/>
        <v>91.304347826086953</v>
      </c>
    </row>
    <row r="75" spans="1:7" ht="18.75" x14ac:dyDescent="0.25">
      <c r="A75" s="83">
        <v>6</v>
      </c>
      <c r="B75" s="84" t="s">
        <v>10</v>
      </c>
      <c r="C75" s="54">
        <v>23</v>
      </c>
      <c r="D75" s="53">
        <v>4</v>
      </c>
      <c r="E75" s="90">
        <f t="shared" si="1"/>
        <v>17.391304347826086</v>
      </c>
    </row>
    <row r="76" spans="1:7" ht="18.75" x14ac:dyDescent="0.25">
      <c r="A76" s="83">
        <v>7</v>
      </c>
      <c r="B76" s="84" t="s">
        <v>11</v>
      </c>
      <c r="C76" s="54">
        <v>23</v>
      </c>
      <c r="D76" s="53">
        <v>18</v>
      </c>
      <c r="E76" s="86">
        <f t="shared" si="1"/>
        <v>78.260869565217391</v>
      </c>
    </row>
    <row r="77" spans="1:7" ht="18.75" x14ac:dyDescent="0.25">
      <c r="A77" s="83">
        <v>8</v>
      </c>
      <c r="B77" s="84" t="s">
        <v>12</v>
      </c>
      <c r="C77" s="54">
        <v>23</v>
      </c>
      <c r="D77" s="53">
        <v>20</v>
      </c>
      <c r="E77" s="86">
        <f t="shared" si="1"/>
        <v>86.956521739130437</v>
      </c>
    </row>
    <row r="78" spans="1:7" ht="18.75" x14ac:dyDescent="0.25">
      <c r="A78" s="83">
        <v>9</v>
      </c>
      <c r="B78" s="84" t="s">
        <v>13</v>
      </c>
      <c r="C78" s="54">
        <v>23</v>
      </c>
      <c r="D78" s="53">
        <v>20</v>
      </c>
      <c r="E78" s="86">
        <f t="shared" si="1"/>
        <v>86.956521739130437</v>
      </c>
    </row>
    <row r="79" spans="1:7" ht="18.75" x14ac:dyDescent="0.25">
      <c r="A79" s="83">
        <v>10</v>
      </c>
      <c r="B79" s="84" t="s">
        <v>14</v>
      </c>
      <c r="C79" s="54">
        <v>23</v>
      </c>
      <c r="D79" s="53">
        <v>8</v>
      </c>
      <c r="E79" s="90">
        <f t="shared" si="1"/>
        <v>34.782608695652172</v>
      </c>
    </row>
    <row r="80" spans="1:7" ht="18.75" x14ac:dyDescent="0.25">
      <c r="A80" s="83">
        <v>11</v>
      </c>
      <c r="B80" s="84" t="s">
        <v>15</v>
      </c>
      <c r="C80" s="54">
        <v>23</v>
      </c>
      <c r="D80" s="53">
        <v>20</v>
      </c>
      <c r="E80" s="86">
        <f t="shared" si="1"/>
        <v>86.956521739130437</v>
      </c>
    </row>
    <row r="81" spans="1:5" ht="18.75" x14ac:dyDescent="0.25">
      <c r="A81" s="83">
        <v>12</v>
      </c>
      <c r="B81" s="84" t="s">
        <v>16</v>
      </c>
      <c r="C81" s="54">
        <v>23</v>
      </c>
      <c r="D81" s="53">
        <v>1</v>
      </c>
      <c r="E81" s="90">
        <f t="shared" si="1"/>
        <v>4.3478260869565215</v>
      </c>
    </row>
    <row r="82" spans="1:5" ht="18.75" x14ac:dyDescent="0.25">
      <c r="A82" s="83">
        <v>13</v>
      </c>
      <c r="B82" s="84" t="s">
        <v>17</v>
      </c>
      <c r="C82" s="54">
        <v>23</v>
      </c>
      <c r="D82" s="53">
        <v>19</v>
      </c>
      <c r="E82" s="86">
        <f t="shared" si="1"/>
        <v>82.608695652173907</v>
      </c>
    </row>
    <row r="83" spans="1:5" ht="18.75" x14ac:dyDescent="0.25">
      <c r="A83" s="83">
        <v>14</v>
      </c>
      <c r="B83" s="84" t="s">
        <v>18</v>
      </c>
      <c r="C83" s="54">
        <v>23</v>
      </c>
      <c r="D83" s="53">
        <v>22</v>
      </c>
      <c r="E83" s="86">
        <f t="shared" si="1"/>
        <v>95.652173913043484</v>
      </c>
    </row>
    <row r="84" spans="1:5" ht="18.75" x14ac:dyDescent="0.25">
      <c r="A84" s="83">
        <v>15</v>
      </c>
      <c r="B84" s="84" t="s">
        <v>19</v>
      </c>
      <c r="C84" s="54">
        <v>23</v>
      </c>
      <c r="D84" s="53">
        <v>20</v>
      </c>
      <c r="E84" s="86">
        <f t="shared" si="1"/>
        <v>86.956521739130437</v>
      </c>
    </row>
    <row r="85" spans="1:5" ht="18.75" x14ac:dyDescent="0.25">
      <c r="A85" s="83">
        <v>16</v>
      </c>
      <c r="B85" s="84" t="s">
        <v>71</v>
      </c>
      <c r="C85" s="54">
        <v>23</v>
      </c>
      <c r="D85" s="53">
        <v>18</v>
      </c>
      <c r="E85" s="86">
        <f t="shared" si="1"/>
        <v>78.260869565217391</v>
      </c>
    </row>
    <row r="86" spans="1:5" ht="18.75" x14ac:dyDescent="0.25">
      <c r="A86" s="83">
        <v>17</v>
      </c>
      <c r="B86" s="84" t="s">
        <v>20</v>
      </c>
      <c r="C86" s="54">
        <v>23</v>
      </c>
      <c r="D86" s="53">
        <v>23</v>
      </c>
      <c r="E86" s="86">
        <f t="shared" si="1"/>
        <v>100</v>
      </c>
    </row>
    <row r="87" spans="1:5" ht="18.75" x14ac:dyDescent="0.25">
      <c r="A87" s="83">
        <v>18</v>
      </c>
      <c r="B87" s="84" t="s">
        <v>21</v>
      </c>
      <c r="C87" s="54">
        <v>23</v>
      </c>
      <c r="D87" s="53">
        <v>13</v>
      </c>
      <c r="E87" s="90">
        <f t="shared" si="1"/>
        <v>56.521739130434781</v>
      </c>
    </row>
    <row r="88" spans="1:5" ht="18.75" x14ac:dyDescent="0.25">
      <c r="A88" s="83">
        <v>19</v>
      </c>
      <c r="B88" s="84" t="s">
        <v>22</v>
      </c>
      <c r="C88" s="54">
        <v>23</v>
      </c>
      <c r="D88" s="53">
        <v>8</v>
      </c>
      <c r="E88" s="90">
        <f t="shared" si="1"/>
        <v>34.782608695652172</v>
      </c>
    </row>
    <row r="89" spans="1:5" ht="18.75" x14ac:dyDescent="0.25">
      <c r="A89" s="83">
        <v>20</v>
      </c>
      <c r="B89" s="84" t="s">
        <v>23</v>
      </c>
      <c r="C89" s="54">
        <v>23</v>
      </c>
      <c r="D89" s="53">
        <v>23</v>
      </c>
      <c r="E89" s="86">
        <f t="shared" si="1"/>
        <v>100</v>
      </c>
    </row>
    <row r="90" spans="1:5" ht="18.75" x14ac:dyDescent="0.25">
      <c r="A90" s="83">
        <v>21</v>
      </c>
      <c r="B90" s="84" t="s">
        <v>24</v>
      </c>
      <c r="C90" s="54">
        <v>23</v>
      </c>
      <c r="D90" s="53">
        <v>23</v>
      </c>
      <c r="E90" s="86">
        <f t="shared" si="1"/>
        <v>100</v>
      </c>
    </row>
    <row r="91" spans="1:5" ht="18.75" x14ac:dyDescent="0.25">
      <c r="A91" s="83">
        <v>22</v>
      </c>
      <c r="B91" s="84" t="s">
        <v>25</v>
      </c>
      <c r="C91" s="54">
        <v>23</v>
      </c>
      <c r="D91" s="53">
        <v>22</v>
      </c>
      <c r="E91" s="86">
        <f t="shared" si="1"/>
        <v>95.652173913043484</v>
      </c>
    </row>
    <row r="92" spans="1:5" ht="18.75" x14ac:dyDescent="0.25">
      <c r="A92" s="83">
        <v>23</v>
      </c>
      <c r="B92" s="84" t="s">
        <v>26</v>
      </c>
      <c r="C92" s="54">
        <v>23</v>
      </c>
      <c r="D92" s="53">
        <v>23</v>
      </c>
      <c r="E92" s="86">
        <f t="shared" si="1"/>
        <v>100</v>
      </c>
    </row>
    <row r="93" spans="1:5" ht="18.75" x14ac:dyDescent="0.25">
      <c r="A93" s="83">
        <v>24</v>
      </c>
      <c r="B93" s="84" t="s">
        <v>27</v>
      </c>
      <c r="C93" s="54">
        <v>23</v>
      </c>
      <c r="D93" s="53">
        <v>22</v>
      </c>
      <c r="E93" s="86">
        <f t="shared" si="1"/>
        <v>95.652173913043484</v>
      </c>
    </row>
    <row r="94" spans="1:5" ht="18.75" x14ac:dyDescent="0.25">
      <c r="A94" s="83">
        <v>25</v>
      </c>
      <c r="B94" s="84" t="s">
        <v>28</v>
      </c>
      <c r="C94" s="54">
        <v>23</v>
      </c>
      <c r="D94" s="53">
        <v>23</v>
      </c>
      <c r="E94" s="86">
        <f t="shared" si="1"/>
        <v>100</v>
      </c>
    </row>
    <row r="95" spans="1:5" ht="18.75" x14ac:dyDescent="0.25">
      <c r="A95" s="83">
        <v>26</v>
      </c>
      <c r="B95" s="84" t="s">
        <v>29</v>
      </c>
      <c r="C95" s="54">
        <v>23</v>
      </c>
      <c r="D95" s="53">
        <v>18</v>
      </c>
      <c r="E95" s="86">
        <f t="shared" si="1"/>
        <v>78.260869565217391</v>
      </c>
    </row>
    <row r="96" spans="1:5" ht="18.75" x14ac:dyDescent="0.25">
      <c r="A96" s="83">
        <v>27</v>
      </c>
      <c r="B96" s="84" t="s">
        <v>30</v>
      </c>
      <c r="C96" s="54">
        <v>23</v>
      </c>
      <c r="D96" s="53">
        <v>20</v>
      </c>
      <c r="E96" s="86">
        <f t="shared" si="1"/>
        <v>86.956521739130437</v>
      </c>
    </row>
    <row r="97" spans="1:5" ht="18.75" x14ac:dyDescent="0.25">
      <c r="A97" s="83">
        <v>28</v>
      </c>
      <c r="B97" s="84" t="s">
        <v>31</v>
      </c>
      <c r="C97" s="54">
        <v>23</v>
      </c>
      <c r="D97" s="53">
        <v>20</v>
      </c>
      <c r="E97" s="86">
        <f t="shared" si="1"/>
        <v>86.956521739130437</v>
      </c>
    </row>
    <row r="98" spans="1:5" ht="18.75" x14ac:dyDescent="0.25">
      <c r="A98" s="83">
        <v>29</v>
      </c>
      <c r="B98" s="84" t="s">
        <v>32</v>
      </c>
      <c r="C98" s="54">
        <v>23</v>
      </c>
      <c r="D98" s="53">
        <v>22</v>
      </c>
      <c r="E98" s="86">
        <f t="shared" si="1"/>
        <v>95.652173913043484</v>
      </c>
    </row>
    <row r="99" spans="1:5" ht="18.75" x14ac:dyDescent="0.25">
      <c r="A99" s="83">
        <v>30</v>
      </c>
      <c r="B99" s="84" t="s">
        <v>33</v>
      </c>
      <c r="C99" s="54">
        <v>23</v>
      </c>
      <c r="D99" s="53">
        <v>23</v>
      </c>
      <c r="E99" s="86">
        <f t="shared" si="1"/>
        <v>100</v>
      </c>
    </row>
    <row r="100" spans="1:5" ht="18.75" x14ac:dyDescent="0.25">
      <c r="A100" s="83">
        <v>31</v>
      </c>
      <c r="B100" s="84" t="s">
        <v>34</v>
      </c>
      <c r="C100" s="54">
        <v>23</v>
      </c>
      <c r="D100" s="53">
        <v>20</v>
      </c>
      <c r="E100" s="86">
        <f t="shared" si="1"/>
        <v>86.956521739130437</v>
      </c>
    </row>
    <row r="101" spans="1:5" ht="18.75" x14ac:dyDescent="0.25">
      <c r="A101" s="83">
        <v>32</v>
      </c>
      <c r="B101" s="84" t="s">
        <v>35</v>
      </c>
      <c r="C101" s="54">
        <v>23</v>
      </c>
      <c r="D101" s="53">
        <v>20</v>
      </c>
      <c r="E101" s="86">
        <f t="shared" si="1"/>
        <v>86.956521739130437</v>
      </c>
    </row>
    <row r="102" spans="1:5" ht="18.75" x14ac:dyDescent="0.25">
      <c r="A102" s="83">
        <v>33</v>
      </c>
      <c r="B102" s="84" t="s">
        <v>36</v>
      </c>
      <c r="C102" s="54">
        <v>23</v>
      </c>
      <c r="D102" s="53">
        <v>21</v>
      </c>
      <c r="E102" s="86">
        <f t="shared" si="1"/>
        <v>91.304347826086953</v>
      </c>
    </row>
    <row r="103" spans="1:5" ht="18.75" x14ac:dyDescent="0.25">
      <c r="A103" s="83">
        <v>34</v>
      </c>
      <c r="B103" s="84" t="s">
        <v>37</v>
      </c>
      <c r="C103" s="54">
        <v>23</v>
      </c>
      <c r="D103" s="53">
        <v>23</v>
      </c>
      <c r="E103" s="86">
        <f t="shared" si="1"/>
        <v>100</v>
      </c>
    </row>
    <row r="104" spans="1:5" ht="31.5" x14ac:dyDescent="0.25">
      <c r="A104" s="83">
        <v>35</v>
      </c>
      <c r="B104" s="84" t="s">
        <v>67</v>
      </c>
      <c r="C104" s="54">
        <v>23</v>
      </c>
      <c r="D104" s="53">
        <v>13</v>
      </c>
      <c r="E104" s="90">
        <f t="shared" si="1"/>
        <v>56.521739130434781</v>
      </c>
    </row>
    <row r="105" spans="1:5" ht="18.75" x14ac:dyDescent="0.25">
      <c r="A105" s="83">
        <v>36</v>
      </c>
      <c r="B105" s="84" t="s">
        <v>38</v>
      </c>
      <c r="C105" s="54">
        <v>23</v>
      </c>
      <c r="D105" s="53">
        <v>21</v>
      </c>
      <c r="E105" s="86">
        <f t="shared" si="1"/>
        <v>91.304347826086953</v>
      </c>
    </row>
    <row r="106" spans="1:5" ht="18.75" x14ac:dyDescent="0.25">
      <c r="A106" s="83">
        <v>37</v>
      </c>
      <c r="B106" s="84" t="s">
        <v>39</v>
      </c>
      <c r="C106" s="54">
        <v>23</v>
      </c>
      <c r="D106" s="53">
        <v>20</v>
      </c>
      <c r="E106" s="86">
        <f t="shared" si="1"/>
        <v>86.956521739130437</v>
      </c>
    </row>
    <row r="107" spans="1:5" ht="18.75" x14ac:dyDescent="0.25">
      <c r="A107" s="83">
        <v>38</v>
      </c>
      <c r="B107" s="84" t="s">
        <v>40</v>
      </c>
      <c r="C107" s="54">
        <v>23</v>
      </c>
      <c r="D107" s="53">
        <v>22</v>
      </c>
      <c r="E107" s="86">
        <f t="shared" si="1"/>
        <v>95.652173913043484</v>
      </c>
    </row>
    <row r="108" spans="1:5" ht="18.75" x14ac:dyDescent="0.25">
      <c r="A108" s="83">
        <v>39</v>
      </c>
      <c r="B108" s="84" t="s">
        <v>41</v>
      </c>
      <c r="C108" s="54">
        <v>23</v>
      </c>
      <c r="D108" s="53">
        <v>20</v>
      </c>
      <c r="E108" s="86">
        <f t="shared" si="1"/>
        <v>86.956521739130437</v>
      </c>
    </row>
    <row r="109" spans="1:5" ht="18.75" x14ac:dyDescent="0.25">
      <c r="A109" s="83">
        <v>40</v>
      </c>
      <c r="B109" s="84" t="s">
        <v>42</v>
      </c>
      <c r="C109" s="54">
        <v>23</v>
      </c>
      <c r="D109" s="53">
        <v>22</v>
      </c>
      <c r="E109" s="86">
        <f t="shared" si="1"/>
        <v>95.652173913043484</v>
      </c>
    </row>
    <row r="110" spans="1:5" ht="18.75" x14ac:dyDescent="0.25">
      <c r="A110" s="83">
        <v>41</v>
      </c>
      <c r="B110" s="84" t="s">
        <v>43</v>
      </c>
      <c r="C110" s="54">
        <v>23</v>
      </c>
      <c r="D110" s="53">
        <v>20</v>
      </c>
      <c r="E110" s="86">
        <f t="shared" si="1"/>
        <v>86.956521739130437</v>
      </c>
    </row>
    <row r="111" spans="1:5" ht="18.75" x14ac:dyDescent="0.25">
      <c r="A111" s="83">
        <v>42</v>
      </c>
      <c r="B111" s="84" t="s">
        <v>44</v>
      </c>
      <c r="C111" s="54">
        <v>23</v>
      </c>
      <c r="D111" s="53">
        <v>20</v>
      </c>
      <c r="E111" s="86">
        <f t="shared" si="1"/>
        <v>86.956521739130437</v>
      </c>
    </row>
    <row r="112" spans="1:5" ht="18.75" x14ac:dyDescent="0.25">
      <c r="A112" s="83">
        <v>43</v>
      </c>
      <c r="B112" s="84" t="s">
        <v>45</v>
      </c>
      <c r="C112" s="54">
        <v>23</v>
      </c>
      <c r="D112" s="53">
        <v>10</v>
      </c>
      <c r="E112" s="90">
        <f t="shared" si="1"/>
        <v>43.478260869565219</v>
      </c>
    </row>
    <row r="113" spans="1:5" ht="18.75" x14ac:dyDescent="0.25">
      <c r="A113" s="83">
        <v>44</v>
      </c>
      <c r="B113" s="84" t="s">
        <v>46</v>
      </c>
      <c r="C113" s="54">
        <v>23</v>
      </c>
      <c r="D113" s="53">
        <v>12</v>
      </c>
      <c r="E113" s="90">
        <f t="shared" si="1"/>
        <v>52.173913043478258</v>
      </c>
    </row>
    <row r="114" spans="1:5" ht="18.75" x14ac:dyDescent="0.25">
      <c r="A114" s="83">
        <v>45</v>
      </c>
      <c r="B114" s="84" t="s">
        <v>47</v>
      </c>
      <c r="C114" s="54">
        <v>23</v>
      </c>
      <c r="D114" s="53">
        <v>22</v>
      </c>
      <c r="E114" s="86">
        <f t="shared" si="1"/>
        <v>95.652173913043484</v>
      </c>
    </row>
    <row r="115" spans="1:5" ht="18.75" x14ac:dyDescent="0.25">
      <c r="A115" s="83">
        <v>46</v>
      </c>
      <c r="B115" s="84" t="s">
        <v>48</v>
      </c>
      <c r="C115" s="54">
        <v>23</v>
      </c>
      <c r="D115" s="53">
        <v>23</v>
      </c>
      <c r="E115" s="86">
        <f t="shared" si="1"/>
        <v>100</v>
      </c>
    </row>
    <row r="116" spans="1:5" ht="18.75" x14ac:dyDescent="0.25">
      <c r="A116" s="83">
        <v>47</v>
      </c>
      <c r="B116" s="84" t="s">
        <v>49</v>
      </c>
      <c r="C116" s="54">
        <v>23</v>
      </c>
      <c r="D116" s="53">
        <v>21</v>
      </c>
      <c r="E116" s="86">
        <f t="shared" si="1"/>
        <v>91.304347826086953</v>
      </c>
    </row>
    <row r="117" spans="1:5" ht="18.75" x14ac:dyDescent="0.25">
      <c r="A117" s="83">
        <v>48</v>
      </c>
      <c r="B117" s="84" t="s">
        <v>50</v>
      </c>
      <c r="C117" s="54">
        <v>23</v>
      </c>
      <c r="D117" s="53">
        <v>20</v>
      </c>
      <c r="E117" s="86">
        <f t="shared" si="1"/>
        <v>86.956521739130437</v>
      </c>
    </row>
    <row r="118" spans="1:5" ht="18.75" x14ac:dyDescent="0.25">
      <c r="A118" s="83">
        <v>49</v>
      </c>
      <c r="B118" s="84" t="s">
        <v>51</v>
      </c>
      <c r="C118" s="54">
        <v>23</v>
      </c>
      <c r="D118" s="53">
        <v>20</v>
      </c>
      <c r="E118" s="86">
        <f t="shared" si="1"/>
        <v>86.956521739130437</v>
      </c>
    </row>
    <row r="119" spans="1:5" ht="18.75" x14ac:dyDescent="0.25">
      <c r="A119" s="83">
        <v>50</v>
      </c>
      <c r="B119" s="84" t="s">
        <v>52</v>
      </c>
      <c r="C119" s="54">
        <v>23</v>
      </c>
      <c r="D119" s="53">
        <v>23</v>
      </c>
      <c r="E119" s="86">
        <f t="shared" si="1"/>
        <v>100</v>
      </c>
    </row>
    <row r="120" spans="1:5" ht="18.75" x14ac:dyDescent="0.25">
      <c r="A120" s="83">
        <v>51</v>
      </c>
      <c r="B120" s="84" t="s">
        <v>53</v>
      </c>
      <c r="C120" s="54">
        <v>23</v>
      </c>
      <c r="D120" s="53">
        <v>22</v>
      </c>
      <c r="E120" s="86">
        <f t="shared" si="1"/>
        <v>95.652173913043484</v>
      </c>
    </row>
    <row r="121" spans="1:5" ht="18.75" x14ac:dyDescent="0.25">
      <c r="A121" s="83">
        <v>52</v>
      </c>
      <c r="B121" s="84" t="s">
        <v>54</v>
      </c>
      <c r="C121" s="54">
        <v>23</v>
      </c>
      <c r="D121" s="53">
        <v>21</v>
      </c>
      <c r="E121" s="86">
        <f t="shared" si="1"/>
        <v>91.304347826086953</v>
      </c>
    </row>
    <row r="122" spans="1:5" ht="18.75" x14ac:dyDescent="0.25">
      <c r="A122" s="83">
        <v>53</v>
      </c>
      <c r="B122" s="84" t="s">
        <v>55</v>
      </c>
      <c r="C122" s="54">
        <v>23</v>
      </c>
      <c r="D122" s="53">
        <v>21</v>
      </c>
      <c r="E122" s="86">
        <f t="shared" si="1"/>
        <v>91.304347826086953</v>
      </c>
    </row>
    <row r="123" spans="1:5" ht="18.75" x14ac:dyDescent="0.25">
      <c r="A123" s="83">
        <v>54</v>
      </c>
      <c r="B123" s="84" t="s">
        <v>56</v>
      </c>
      <c r="C123" s="54">
        <v>23</v>
      </c>
      <c r="D123" s="53">
        <v>23</v>
      </c>
      <c r="E123" s="86">
        <f t="shared" si="1"/>
        <v>100</v>
      </c>
    </row>
    <row r="124" spans="1:5" ht="18.75" x14ac:dyDescent="0.25">
      <c r="A124" s="83">
        <v>55</v>
      </c>
      <c r="B124" s="84" t="s">
        <v>57</v>
      </c>
      <c r="C124" s="54">
        <v>23</v>
      </c>
      <c r="D124" s="53">
        <v>21</v>
      </c>
      <c r="E124" s="86">
        <f t="shared" si="1"/>
        <v>91.304347826086953</v>
      </c>
    </row>
    <row r="125" spans="1:5" ht="18.75" x14ac:dyDescent="0.25">
      <c r="A125" s="83">
        <v>56</v>
      </c>
      <c r="B125" s="84" t="s">
        <v>58</v>
      </c>
      <c r="C125" s="54">
        <v>23</v>
      </c>
      <c r="D125" s="53">
        <v>1</v>
      </c>
      <c r="E125" s="90">
        <f t="shared" si="1"/>
        <v>4.3478260869565215</v>
      </c>
    </row>
    <row r="126" spans="1:5" ht="18.75" x14ac:dyDescent="0.25">
      <c r="A126" s="83">
        <v>57</v>
      </c>
      <c r="B126" s="84" t="s">
        <v>59</v>
      </c>
      <c r="C126" s="54">
        <v>23</v>
      </c>
      <c r="D126" s="53">
        <v>20</v>
      </c>
      <c r="E126" s="86">
        <f t="shared" si="1"/>
        <v>86.956521739130437</v>
      </c>
    </row>
    <row r="127" spans="1:5" ht="31.5" x14ac:dyDescent="0.25">
      <c r="A127" s="83">
        <v>58</v>
      </c>
      <c r="B127" s="84" t="s">
        <v>60</v>
      </c>
      <c r="C127" s="54">
        <v>23</v>
      </c>
      <c r="D127" s="53">
        <v>14</v>
      </c>
      <c r="E127" s="90">
        <f t="shared" si="1"/>
        <v>60.869565217391305</v>
      </c>
    </row>
    <row r="128" spans="1:5" ht="31.5" x14ac:dyDescent="0.25">
      <c r="A128" s="83">
        <v>59</v>
      </c>
      <c r="B128" s="84" t="s">
        <v>61</v>
      </c>
      <c r="C128" s="54">
        <v>23</v>
      </c>
      <c r="D128" s="53">
        <v>23</v>
      </c>
      <c r="E128" s="86">
        <f t="shared" si="1"/>
        <v>100</v>
      </c>
    </row>
    <row r="129" spans="1:5" ht="18" x14ac:dyDescent="0.3">
      <c r="A129" s="83">
        <v>60</v>
      </c>
      <c r="B129" s="84" t="s">
        <v>62</v>
      </c>
      <c r="C129" s="54">
        <v>23</v>
      </c>
      <c r="D129" s="53">
        <v>16</v>
      </c>
      <c r="E129" s="90">
        <f t="shared" si="1"/>
        <v>69.565217391304344</v>
      </c>
    </row>
  </sheetData>
  <mergeCells count="9">
    <mergeCell ref="A68:D68"/>
    <mergeCell ref="A1:E1"/>
    <mergeCell ref="A2:E2"/>
    <mergeCell ref="A3:D3"/>
    <mergeCell ref="F1:J1"/>
    <mergeCell ref="F2:J2"/>
    <mergeCell ref="F3:I3"/>
    <mergeCell ref="A66:E66"/>
    <mergeCell ref="A67:E6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Student </vt:lpstr>
      <vt:lpstr>July2025</vt:lpstr>
      <vt:lpstr>Sheet7</vt:lpstr>
      <vt:lpstr>August 2025</vt:lpstr>
      <vt:lpstr>Sheet6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shakuntala hospital</dc:creator>
  <cp:lastModifiedBy>HP</cp:lastModifiedBy>
  <cp:lastPrinted>2025-12-03T08:28:03Z</cp:lastPrinted>
  <dcterms:created xsi:type="dcterms:W3CDTF">2025-07-22T11:11:16Z</dcterms:created>
  <dcterms:modified xsi:type="dcterms:W3CDTF">2025-12-23T09:43:56Z</dcterms:modified>
</cp:coreProperties>
</file>