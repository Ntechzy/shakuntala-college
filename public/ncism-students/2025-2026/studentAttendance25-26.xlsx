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are\Downloads\"/>
    </mc:Choice>
  </mc:AlternateContent>
  <xr:revisionPtr revIDLastSave="0" documentId="13_ncr:1_{9FECDE15-B790-4116-86EF-F7B4E6F46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2" i="2" l="1"/>
  <c r="J63" i="2"/>
  <c r="J6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K48" i="2" s="1"/>
  <c r="J49" i="2"/>
  <c r="J50" i="2"/>
  <c r="J51" i="2"/>
  <c r="J52" i="2"/>
  <c r="J53" i="2"/>
  <c r="J54" i="2"/>
  <c r="J55" i="2"/>
  <c r="J56" i="2"/>
  <c r="J57" i="2"/>
  <c r="J58" i="2"/>
  <c r="K58" i="2" s="1"/>
  <c r="J59" i="2"/>
  <c r="K59" i="2" s="1"/>
  <c r="J60" i="2"/>
  <c r="K60" i="2" s="1"/>
  <c r="J61" i="2"/>
  <c r="K61" i="2" s="1"/>
  <c r="J5" i="2"/>
  <c r="I62" i="2"/>
  <c r="I63" i="2"/>
  <c r="I64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5" i="2"/>
  <c r="K33" i="2" l="1"/>
  <c r="K53" i="2"/>
  <c r="K29" i="2"/>
  <c r="K21" i="2"/>
  <c r="K40" i="2"/>
  <c r="K32" i="2"/>
  <c r="K24" i="2"/>
  <c r="K16" i="2"/>
  <c r="K52" i="2"/>
  <c r="K44" i="2"/>
  <c r="K36" i="2"/>
  <c r="K28" i="2"/>
  <c r="K20" i="2"/>
  <c r="K12" i="2"/>
  <c r="K49" i="2"/>
  <c r="K25" i="2"/>
  <c r="K37" i="2"/>
  <c r="K51" i="2"/>
  <c r="K43" i="2"/>
  <c r="K35" i="2"/>
  <c r="K27" i="2"/>
  <c r="K19" i="2"/>
  <c r="K11" i="2"/>
  <c r="K41" i="2"/>
  <c r="K17" i="2"/>
  <c r="K45" i="2"/>
  <c r="K13" i="2"/>
  <c r="K50" i="2"/>
  <c r="K42" i="2"/>
  <c r="K34" i="2"/>
  <c r="K26" i="2"/>
  <c r="K18" i="2"/>
  <c r="K10" i="2"/>
  <c r="K9" i="2"/>
  <c r="K8" i="2"/>
  <c r="K47" i="2"/>
  <c r="K39" i="2"/>
  <c r="K31" i="2"/>
  <c r="K23" i="2"/>
  <c r="K15" i="2"/>
  <c r="K7" i="2"/>
  <c r="K5" i="2"/>
  <c r="K46" i="2"/>
  <c r="K38" i="2"/>
  <c r="K30" i="2"/>
  <c r="K22" i="2"/>
  <c r="K14" i="2"/>
  <c r="K6" i="2"/>
  <c r="K56" i="2"/>
  <c r="K64" i="2"/>
  <c r="K57" i="2"/>
  <c r="K55" i="2"/>
  <c r="K63" i="2"/>
  <c r="K54" i="2"/>
  <c r="K62" i="2"/>
</calcChain>
</file>

<file path=xl/sharedStrings.xml><?xml version="1.0" encoding="utf-8"?>
<sst xmlns="http://schemas.openxmlformats.org/spreadsheetml/2006/main" count="77" uniqueCount="69">
  <si>
    <t>DR. SHAKUNTALKA AYURVEDIC MEDICAL COLLEGE THANA ROAD GAURABADSHAHPUR , JAUNPUR (U.P.)</t>
  </si>
  <si>
    <t>Sr.No</t>
  </si>
  <si>
    <t>Student Name</t>
  </si>
  <si>
    <t>T.W.D.</t>
  </si>
  <si>
    <t>T.P.D.</t>
  </si>
  <si>
    <t>%</t>
  </si>
  <si>
    <t>LAXMI YADAV</t>
  </si>
  <si>
    <t>FALAK MOHAMMAD RAFIQ ANSARI</t>
  </si>
  <si>
    <t>ADARSH KUMAR YADAV</t>
  </si>
  <si>
    <t>MADHU YADAV</t>
  </si>
  <si>
    <t>MEENU SINGH</t>
  </si>
  <si>
    <t>PUJA YADAV</t>
  </si>
  <si>
    <t>ANAND KUMAR YADAV</t>
  </si>
  <si>
    <t>GYANA PATEL</t>
  </si>
  <si>
    <t>ABHAY RAJ</t>
  </si>
  <si>
    <t>ANSHU DINESH YADAV</t>
  </si>
  <si>
    <t>FATIMA NADEEM</t>
  </si>
  <si>
    <t>NILESH YADAV</t>
  </si>
  <si>
    <t>ASHUTOSH</t>
  </si>
  <si>
    <t>POOJA KUSHWAHA</t>
  </si>
  <si>
    <t>PRATEEK SHUKLA</t>
  </si>
  <si>
    <t>SANA PARVEEN</t>
  </si>
  <si>
    <t>SHATRUNJAY YADAV</t>
  </si>
  <si>
    <t>TANYA TRIPATHI</t>
  </si>
  <si>
    <t>DIKSHA GULABCHANDRA PAL</t>
  </si>
  <si>
    <t>ANURAG MAURYA</t>
  </si>
  <si>
    <t>AMIT SAHANI</t>
  </si>
  <si>
    <t>LATIKA YADAV</t>
  </si>
  <si>
    <t>ANCHAL</t>
  </si>
  <si>
    <t>SATISH KUMAR KANAUJIYA</t>
  </si>
  <si>
    <t>DEEPANJALI YADAV</t>
  </si>
  <si>
    <t>YUKTI GUPTA</t>
  </si>
  <si>
    <t>PRIYANSHU VISHWAKARMA</t>
  </si>
  <si>
    <t>SHWETA VISHWAKARMA</t>
  </si>
  <si>
    <t>JUVERIYA JAVED</t>
  </si>
  <si>
    <t>ANCHAL PAL</t>
  </si>
  <si>
    <t>ANCHAL KUMAR YADAV</t>
  </si>
  <si>
    <t>YATI PRIYA</t>
  </si>
  <si>
    <t>SHREYA</t>
  </si>
  <si>
    <t>ANKUSH PRAJAPATI</t>
  </si>
  <si>
    <t>JYOTI MAURYA</t>
  </si>
  <si>
    <t>GUPTA PRABHAT</t>
  </si>
  <si>
    <t>KARTIKEY TRIPATHI</t>
  </si>
  <si>
    <t>KU.CHAYA YADAV</t>
  </si>
  <si>
    <t>KRISHNA PANDEY</t>
  </si>
  <si>
    <t>KRISHNA SINGH</t>
  </si>
  <si>
    <t>MISHRA RIYA</t>
  </si>
  <si>
    <t>MAHSIN ASHFAQUE</t>
  </si>
  <si>
    <t xml:space="preserve">NAMITA YADAV </t>
  </si>
  <si>
    <t>PAL ALOK</t>
  </si>
  <si>
    <t>PAL AMAN</t>
  </si>
  <si>
    <t>PINKI RATHOR</t>
  </si>
  <si>
    <t>PRIYANSHU UPADHYAY</t>
  </si>
  <si>
    <t>SHIVA YADAV</t>
  </si>
  <si>
    <t>TONMOY ROY</t>
  </si>
  <si>
    <t>UJJAWAL KUMAR</t>
  </si>
  <si>
    <t>VAISALI SONI</t>
  </si>
  <si>
    <t>VINAYAK SINGH</t>
  </si>
  <si>
    <t>VISHAL YADAV</t>
  </si>
  <si>
    <t>YADAV GAURAV</t>
  </si>
  <si>
    <t>YADAV PRIYA</t>
  </si>
  <si>
    <t>YADAV RISHIKESH</t>
  </si>
  <si>
    <t xml:space="preserve"> BATCH 2025-26 YEAR ( MONTHLY ATTENDANCE SHEET )</t>
  </si>
  <si>
    <t xml:space="preserve">UTKARSH SINGH </t>
  </si>
  <si>
    <t xml:space="preserve">ABHISHEK KUMAR </t>
  </si>
  <si>
    <t>Nov-2025</t>
  </si>
  <si>
    <t>Dec-2025</t>
  </si>
  <si>
    <t>Jan-2026</t>
  </si>
  <si>
    <t>Feb-2026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</si>
</sst>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6"/>
      <color theme="1"/>
      <name val="Arial Black"/>
      <family val="2"/>
    </font>
    <font>
      <b/>
      <sz val="14"/>
      <color theme="1"/>
      <name val="Aptos Narrow"/>
      <family val="2"/>
    </font>
    <font>
      <b/>
      <sz val="11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6" fillId="0" borderId="4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/>
    </xf>
    <xf numFmtId="49" fontId="1" fillId="5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6"/>
  <sheetViews>
    <sheetView tabSelected="1" zoomScaleNormal="100" workbookViewId="0">
      <selection activeCell="L1" sqref="L1:AM64"/>
    </sheetView>
  </sheetViews>
  <sheetFormatPr defaultRowHeight="14.4" x14ac:dyDescent="0.3"/>
  <cols>
    <col min="1" max="1" width="4.88671875" bestFit="1" customWidth="1"/>
    <col min="2" max="2" width="37.44140625" customWidth="1"/>
    <col min="3" max="3" width="6" bestFit="1" customWidth="1"/>
    <col min="4" max="4" width="5.33203125" bestFit="1" customWidth="1"/>
    <col min="5" max="5" width="6" bestFit="1" customWidth="1"/>
    <col min="6" max="6" width="5.33203125" bestFit="1" customWidth="1"/>
    <col min="7" max="7" width="6" bestFit="1" customWidth="1"/>
    <col min="8" max="8" width="5.33203125" bestFit="1" customWidth="1"/>
    <col min="9" max="9" width="6" bestFit="1" customWidth="1"/>
    <col min="10" max="10" width="7.109375" customWidth="1"/>
    <col min="11" max="11" width="25.33203125" style="20" customWidth="1"/>
  </cols>
  <sheetData>
    <row r="1" spans="1:39" ht="55.2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7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</row>
    <row r="2" spans="1:39" ht="18" x14ac:dyDescent="0.3">
      <c r="A2" s="17" t="s">
        <v>62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27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39" ht="18" x14ac:dyDescent="0.35">
      <c r="A3" s="6"/>
      <c r="B3" s="7"/>
      <c r="C3" s="24" t="s">
        <v>65</v>
      </c>
      <c r="D3" s="25"/>
      <c r="E3" s="24" t="s">
        <v>66</v>
      </c>
      <c r="F3" s="25"/>
      <c r="G3" s="24" t="s">
        <v>67</v>
      </c>
      <c r="H3" s="25"/>
      <c r="I3" s="24" t="s">
        <v>68</v>
      </c>
      <c r="J3" s="25"/>
      <c r="K3" s="18"/>
      <c r="L3" s="27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ht="27.6" x14ac:dyDescent="0.3">
      <c r="A4" s="15" t="s">
        <v>1</v>
      </c>
      <c r="B4" s="21" t="s">
        <v>2</v>
      </c>
      <c r="C4" s="22" t="s">
        <v>3</v>
      </c>
      <c r="D4" s="22" t="s">
        <v>4</v>
      </c>
      <c r="E4" s="22" t="s">
        <v>3</v>
      </c>
      <c r="F4" s="22" t="s">
        <v>4</v>
      </c>
      <c r="G4" s="22" t="s">
        <v>3</v>
      </c>
      <c r="H4" s="22" t="s">
        <v>4</v>
      </c>
      <c r="I4" s="22" t="s">
        <v>3</v>
      </c>
      <c r="J4" s="23" t="s">
        <v>4</v>
      </c>
      <c r="K4" s="22" t="s">
        <v>5</v>
      </c>
      <c r="L4" s="27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x14ac:dyDescent="0.3">
      <c r="A5" s="1">
        <v>1</v>
      </c>
      <c r="B5" s="8" t="s">
        <v>14</v>
      </c>
      <c r="C5" s="2">
        <v>22</v>
      </c>
      <c r="D5" s="2">
        <v>21</v>
      </c>
      <c r="E5" s="2">
        <v>20</v>
      </c>
      <c r="F5" s="2">
        <v>20</v>
      </c>
      <c r="G5" s="2">
        <v>24</v>
      </c>
      <c r="H5" s="2">
        <v>22</v>
      </c>
      <c r="I5" s="4">
        <f>C5+E5+G5</f>
        <v>66</v>
      </c>
      <c r="J5" s="5">
        <f>D5+F5+H5</f>
        <v>63</v>
      </c>
      <c r="K5" s="19">
        <f>J5*100/I5</f>
        <v>95.454545454545453</v>
      </c>
      <c r="L5" s="27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 x14ac:dyDescent="0.3">
      <c r="A6" s="3">
        <v>2</v>
      </c>
      <c r="B6" s="8" t="s">
        <v>64</v>
      </c>
      <c r="C6" s="2">
        <v>22</v>
      </c>
      <c r="D6" s="2">
        <v>14</v>
      </c>
      <c r="E6" s="2">
        <v>20</v>
      </c>
      <c r="F6" s="2">
        <v>18</v>
      </c>
      <c r="G6" s="2">
        <v>24</v>
      </c>
      <c r="H6" s="2">
        <v>22</v>
      </c>
      <c r="I6" s="4">
        <f t="shared" ref="I6:I64" si="0">C6+E6+G6</f>
        <v>66</v>
      </c>
      <c r="J6" s="5">
        <f t="shared" ref="J6:J64" si="1">D6+F6+H6</f>
        <v>54</v>
      </c>
      <c r="K6" s="19">
        <f t="shared" ref="K6:K64" si="2">J6*100/I6</f>
        <v>81.818181818181813</v>
      </c>
      <c r="L6" s="2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x14ac:dyDescent="0.3">
      <c r="A7" s="1">
        <v>3</v>
      </c>
      <c r="B7" s="8" t="s">
        <v>64</v>
      </c>
      <c r="C7" s="2">
        <v>22</v>
      </c>
      <c r="D7" s="2">
        <v>22</v>
      </c>
      <c r="E7" s="2">
        <v>20</v>
      </c>
      <c r="F7" s="2">
        <v>17</v>
      </c>
      <c r="G7" s="2">
        <v>24</v>
      </c>
      <c r="H7" s="2">
        <v>11</v>
      </c>
      <c r="I7" s="4">
        <f t="shared" si="0"/>
        <v>66</v>
      </c>
      <c r="J7" s="5">
        <f t="shared" si="1"/>
        <v>50</v>
      </c>
      <c r="K7" s="19">
        <f t="shared" si="2"/>
        <v>75.757575757575751</v>
      </c>
      <c r="L7" s="27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x14ac:dyDescent="0.3">
      <c r="A8" s="3">
        <v>4</v>
      </c>
      <c r="B8" s="8" t="s">
        <v>8</v>
      </c>
      <c r="C8" s="2">
        <v>22</v>
      </c>
      <c r="D8" s="2">
        <v>22</v>
      </c>
      <c r="E8" s="2">
        <v>20</v>
      </c>
      <c r="F8" s="2">
        <v>18</v>
      </c>
      <c r="G8" s="2">
        <v>24</v>
      </c>
      <c r="H8" s="2">
        <v>22</v>
      </c>
      <c r="I8" s="4">
        <f t="shared" si="0"/>
        <v>66</v>
      </c>
      <c r="J8" s="5">
        <f t="shared" si="1"/>
        <v>62</v>
      </c>
      <c r="K8" s="19">
        <f t="shared" si="2"/>
        <v>93.939393939393938</v>
      </c>
      <c r="L8" s="27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 x14ac:dyDescent="0.3">
      <c r="A9" s="1">
        <v>5</v>
      </c>
      <c r="B9" s="8" t="s">
        <v>26</v>
      </c>
      <c r="C9" s="2">
        <v>22</v>
      </c>
      <c r="D9" s="2">
        <v>22</v>
      </c>
      <c r="E9" s="2">
        <v>20</v>
      </c>
      <c r="F9" s="2">
        <v>15</v>
      </c>
      <c r="G9" s="2">
        <v>24</v>
      </c>
      <c r="H9" s="2">
        <v>22</v>
      </c>
      <c r="I9" s="4">
        <f t="shared" si="0"/>
        <v>66</v>
      </c>
      <c r="J9" s="5">
        <f t="shared" si="1"/>
        <v>59</v>
      </c>
      <c r="K9" s="19">
        <f t="shared" si="2"/>
        <v>89.393939393939391</v>
      </c>
      <c r="L9" s="27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x14ac:dyDescent="0.3">
      <c r="A10" s="3">
        <v>6</v>
      </c>
      <c r="B10" s="8" t="s">
        <v>12</v>
      </c>
      <c r="C10" s="2">
        <v>22</v>
      </c>
      <c r="D10" s="2">
        <v>20</v>
      </c>
      <c r="E10" s="2">
        <v>20</v>
      </c>
      <c r="F10" s="2">
        <v>19</v>
      </c>
      <c r="G10" s="2">
        <v>24</v>
      </c>
      <c r="H10" s="2">
        <v>22</v>
      </c>
      <c r="I10" s="4">
        <f t="shared" si="0"/>
        <v>66</v>
      </c>
      <c r="J10" s="5">
        <f t="shared" si="1"/>
        <v>61</v>
      </c>
      <c r="K10" s="19">
        <f t="shared" si="2"/>
        <v>92.424242424242422</v>
      </c>
      <c r="L10" s="27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 x14ac:dyDescent="0.3">
      <c r="A11" s="1">
        <v>7</v>
      </c>
      <c r="B11" s="8" t="s">
        <v>28</v>
      </c>
      <c r="C11" s="2">
        <v>22</v>
      </c>
      <c r="D11" s="2">
        <v>21</v>
      </c>
      <c r="E11" s="2">
        <v>20</v>
      </c>
      <c r="F11" s="2">
        <v>18</v>
      </c>
      <c r="G11" s="2">
        <v>24</v>
      </c>
      <c r="H11" s="2">
        <v>22</v>
      </c>
      <c r="I11" s="4">
        <f t="shared" si="0"/>
        <v>66</v>
      </c>
      <c r="J11" s="5">
        <f t="shared" si="1"/>
        <v>61</v>
      </c>
      <c r="K11" s="19">
        <f t="shared" si="2"/>
        <v>92.424242424242422</v>
      </c>
      <c r="L11" s="27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 x14ac:dyDescent="0.3">
      <c r="A12" s="3">
        <v>8</v>
      </c>
      <c r="B12" s="8" t="s">
        <v>36</v>
      </c>
      <c r="C12" s="2">
        <v>22</v>
      </c>
      <c r="D12" s="2">
        <v>19</v>
      </c>
      <c r="E12" s="2">
        <v>20</v>
      </c>
      <c r="F12" s="2">
        <v>19</v>
      </c>
      <c r="G12" s="2">
        <v>24</v>
      </c>
      <c r="H12" s="2">
        <v>20</v>
      </c>
      <c r="I12" s="4">
        <f t="shared" si="0"/>
        <v>66</v>
      </c>
      <c r="J12" s="5">
        <f t="shared" si="1"/>
        <v>58</v>
      </c>
      <c r="K12" s="19">
        <f t="shared" si="2"/>
        <v>87.878787878787875</v>
      </c>
      <c r="L12" s="27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x14ac:dyDescent="0.3">
      <c r="A13" s="1">
        <v>9</v>
      </c>
      <c r="B13" s="8" t="s">
        <v>35</v>
      </c>
      <c r="C13" s="2">
        <v>22</v>
      </c>
      <c r="D13" s="2">
        <v>22</v>
      </c>
      <c r="E13" s="2">
        <v>20</v>
      </c>
      <c r="F13" s="2">
        <v>18</v>
      </c>
      <c r="G13" s="2">
        <v>24</v>
      </c>
      <c r="H13" s="2">
        <v>21</v>
      </c>
      <c r="I13" s="4">
        <f t="shared" si="0"/>
        <v>66</v>
      </c>
      <c r="J13" s="5">
        <f t="shared" si="1"/>
        <v>61</v>
      </c>
      <c r="K13" s="19">
        <f t="shared" si="2"/>
        <v>92.424242424242422</v>
      </c>
      <c r="L13" s="27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 x14ac:dyDescent="0.3">
      <c r="A14" s="3">
        <v>10</v>
      </c>
      <c r="B14" s="8" t="s">
        <v>39</v>
      </c>
      <c r="C14" s="2">
        <v>22</v>
      </c>
      <c r="D14" s="2">
        <v>21</v>
      </c>
      <c r="E14" s="2">
        <v>20</v>
      </c>
      <c r="F14" s="2">
        <v>18</v>
      </c>
      <c r="G14" s="2">
        <v>24</v>
      </c>
      <c r="H14" s="2">
        <v>24</v>
      </c>
      <c r="I14" s="4">
        <f t="shared" si="0"/>
        <v>66</v>
      </c>
      <c r="J14" s="5">
        <f t="shared" si="1"/>
        <v>63</v>
      </c>
      <c r="K14" s="19">
        <f t="shared" si="2"/>
        <v>95.454545454545453</v>
      </c>
      <c r="L14" s="27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x14ac:dyDescent="0.3">
      <c r="A15" s="1">
        <v>11</v>
      </c>
      <c r="B15" s="8" t="s">
        <v>15</v>
      </c>
      <c r="C15" s="2">
        <v>22</v>
      </c>
      <c r="D15" s="2">
        <v>13</v>
      </c>
      <c r="E15" s="2">
        <v>20</v>
      </c>
      <c r="F15" s="2">
        <v>17</v>
      </c>
      <c r="G15" s="2">
        <v>24</v>
      </c>
      <c r="H15" s="2">
        <v>20</v>
      </c>
      <c r="I15" s="4">
        <f t="shared" si="0"/>
        <v>66</v>
      </c>
      <c r="J15" s="5">
        <f t="shared" si="1"/>
        <v>50</v>
      </c>
      <c r="K15" s="19">
        <f t="shared" si="2"/>
        <v>75.757575757575751</v>
      </c>
      <c r="L15" s="27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x14ac:dyDescent="0.3">
      <c r="A16" s="3">
        <v>12</v>
      </c>
      <c r="B16" s="8" t="s">
        <v>25</v>
      </c>
      <c r="C16" s="2">
        <v>22</v>
      </c>
      <c r="D16" s="2">
        <v>22</v>
      </c>
      <c r="E16" s="2">
        <v>20</v>
      </c>
      <c r="F16" s="2">
        <v>17</v>
      </c>
      <c r="G16" s="2">
        <v>24</v>
      </c>
      <c r="H16" s="2">
        <v>22</v>
      </c>
      <c r="I16" s="4">
        <f t="shared" si="0"/>
        <v>66</v>
      </c>
      <c r="J16" s="5">
        <f t="shared" si="1"/>
        <v>61</v>
      </c>
      <c r="K16" s="19">
        <f t="shared" si="2"/>
        <v>92.424242424242422</v>
      </c>
      <c r="L16" s="27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x14ac:dyDescent="0.3">
      <c r="A17" s="1">
        <v>13</v>
      </c>
      <c r="B17" s="8" t="s">
        <v>18</v>
      </c>
      <c r="C17" s="2">
        <v>22</v>
      </c>
      <c r="D17" s="2">
        <v>22</v>
      </c>
      <c r="E17" s="2">
        <v>20</v>
      </c>
      <c r="F17" s="2">
        <v>17</v>
      </c>
      <c r="G17" s="2">
        <v>24</v>
      </c>
      <c r="H17" s="2">
        <v>22</v>
      </c>
      <c r="I17" s="4">
        <f t="shared" si="0"/>
        <v>66</v>
      </c>
      <c r="J17" s="5">
        <f t="shared" si="1"/>
        <v>61</v>
      </c>
      <c r="K17" s="19">
        <f t="shared" si="2"/>
        <v>92.424242424242422</v>
      </c>
      <c r="L17" s="27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x14ac:dyDescent="0.3">
      <c r="A18" s="3">
        <v>14</v>
      </c>
      <c r="B18" s="8" t="s">
        <v>30</v>
      </c>
      <c r="C18" s="2">
        <v>22</v>
      </c>
      <c r="D18" s="2">
        <v>21</v>
      </c>
      <c r="E18" s="2">
        <v>20</v>
      </c>
      <c r="F18" s="2">
        <v>19</v>
      </c>
      <c r="G18" s="2">
        <v>24</v>
      </c>
      <c r="H18" s="2">
        <v>24</v>
      </c>
      <c r="I18" s="4">
        <f t="shared" si="0"/>
        <v>66</v>
      </c>
      <c r="J18" s="5">
        <f t="shared" si="1"/>
        <v>64</v>
      </c>
      <c r="K18" s="19">
        <f t="shared" si="2"/>
        <v>96.969696969696969</v>
      </c>
      <c r="L18" s="27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x14ac:dyDescent="0.3">
      <c r="A19" s="1">
        <v>15</v>
      </c>
      <c r="B19" s="8" t="s">
        <v>24</v>
      </c>
      <c r="C19" s="2">
        <v>22</v>
      </c>
      <c r="D19" s="2">
        <v>22</v>
      </c>
      <c r="E19" s="2">
        <v>20</v>
      </c>
      <c r="F19" s="2">
        <v>19</v>
      </c>
      <c r="G19" s="2">
        <v>24</v>
      </c>
      <c r="H19" s="2">
        <v>21</v>
      </c>
      <c r="I19" s="4">
        <f t="shared" si="0"/>
        <v>66</v>
      </c>
      <c r="J19" s="5">
        <f t="shared" si="1"/>
        <v>62</v>
      </c>
      <c r="K19" s="19">
        <f t="shared" si="2"/>
        <v>93.939393939393938</v>
      </c>
      <c r="L19" s="27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x14ac:dyDescent="0.3">
      <c r="A20" s="3">
        <v>16</v>
      </c>
      <c r="B20" s="8" t="s">
        <v>7</v>
      </c>
      <c r="C20" s="2">
        <v>22</v>
      </c>
      <c r="D20" s="2">
        <v>19</v>
      </c>
      <c r="E20" s="2">
        <v>20</v>
      </c>
      <c r="F20" s="2">
        <v>18</v>
      </c>
      <c r="G20" s="2">
        <v>24</v>
      </c>
      <c r="H20" s="2">
        <v>22</v>
      </c>
      <c r="I20" s="4">
        <f t="shared" si="0"/>
        <v>66</v>
      </c>
      <c r="J20" s="5">
        <f t="shared" si="1"/>
        <v>59</v>
      </c>
      <c r="K20" s="19">
        <f t="shared" si="2"/>
        <v>89.393939393939391</v>
      </c>
      <c r="L20" s="27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x14ac:dyDescent="0.3">
      <c r="A21" s="1">
        <v>17</v>
      </c>
      <c r="B21" s="8" t="s">
        <v>16</v>
      </c>
      <c r="C21" s="2">
        <v>22</v>
      </c>
      <c r="D21" s="2">
        <v>14</v>
      </c>
      <c r="E21" s="2">
        <v>20</v>
      </c>
      <c r="F21" s="2">
        <v>17</v>
      </c>
      <c r="G21" s="2">
        <v>24</v>
      </c>
      <c r="H21" s="2">
        <v>23</v>
      </c>
      <c r="I21" s="4">
        <f t="shared" si="0"/>
        <v>66</v>
      </c>
      <c r="J21" s="5">
        <f t="shared" si="1"/>
        <v>54</v>
      </c>
      <c r="K21" s="19">
        <f t="shared" si="2"/>
        <v>81.818181818181813</v>
      </c>
      <c r="L21" s="27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 x14ac:dyDescent="0.3">
      <c r="A22" s="3">
        <v>18</v>
      </c>
      <c r="B22" s="8" t="s">
        <v>40</v>
      </c>
      <c r="C22" s="2">
        <v>22</v>
      </c>
      <c r="D22" s="2">
        <v>13</v>
      </c>
      <c r="E22" s="2">
        <v>20</v>
      </c>
      <c r="F22" s="2">
        <v>19</v>
      </c>
      <c r="G22" s="2">
        <v>24</v>
      </c>
      <c r="H22" s="2">
        <v>22</v>
      </c>
      <c r="I22" s="4">
        <f t="shared" si="0"/>
        <v>66</v>
      </c>
      <c r="J22" s="5">
        <f t="shared" si="1"/>
        <v>54</v>
      </c>
      <c r="K22" s="19">
        <f t="shared" si="2"/>
        <v>81.818181818181813</v>
      </c>
      <c r="L22" s="27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x14ac:dyDescent="0.3">
      <c r="A23" s="1">
        <v>19</v>
      </c>
      <c r="B23" s="9" t="s">
        <v>41</v>
      </c>
      <c r="C23" s="2">
        <v>22</v>
      </c>
      <c r="D23" s="2">
        <v>21</v>
      </c>
      <c r="E23" s="2">
        <v>20</v>
      </c>
      <c r="F23" s="2">
        <v>19</v>
      </c>
      <c r="G23" s="2">
        <v>24</v>
      </c>
      <c r="H23" s="2">
        <v>22</v>
      </c>
      <c r="I23" s="4">
        <f t="shared" si="0"/>
        <v>66</v>
      </c>
      <c r="J23" s="5">
        <f t="shared" si="1"/>
        <v>62</v>
      </c>
      <c r="K23" s="19">
        <f t="shared" si="2"/>
        <v>93.939393939393938</v>
      </c>
      <c r="L23" s="27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x14ac:dyDescent="0.3">
      <c r="A24" s="3">
        <v>20</v>
      </c>
      <c r="B24" s="8" t="s">
        <v>13</v>
      </c>
      <c r="C24" s="2">
        <v>22</v>
      </c>
      <c r="D24" s="2">
        <v>19</v>
      </c>
      <c r="E24" s="2">
        <v>20</v>
      </c>
      <c r="F24" s="2">
        <v>15</v>
      </c>
      <c r="G24" s="2">
        <v>24</v>
      </c>
      <c r="H24" s="2">
        <v>23</v>
      </c>
      <c r="I24" s="4">
        <f t="shared" si="0"/>
        <v>66</v>
      </c>
      <c r="J24" s="5">
        <f t="shared" si="1"/>
        <v>57</v>
      </c>
      <c r="K24" s="19">
        <f t="shared" si="2"/>
        <v>86.36363636363636</v>
      </c>
      <c r="L24" s="27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x14ac:dyDescent="0.3">
      <c r="A25" s="1">
        <v>21</v>
      </c>
      <c r="B25" s="8" t="s">
        <v>34</v>
      </c>
      <c r="C25" s="2">
        <v>22</v>
      </c>
      <c r="D25" s="2">
        <v>22</v>
      </c>
      <c r="E25" s="2">
        <v>20</v>
      </c>
      <c r="F25" s="2">
        <v>19</v>
      </c>
      <c r="G25" s="2">
        <v>24</v>
      </c>
      <c r="H25" s="2">
        <v>24</v>
      </c>
      <c r="I25" s="4">
        <f t="shared" si="0"/>
        <v>66</v>
      </c>
      <c r="J25" s="5">
        <f t="shared" si="1"/>
        <v>65</v>
      </c>
      <c r="K25" s="19">
        <f t="shared" si="2"/>
        <v>98.484848484848484</v>
      </c>
      <c r="L25" s="27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x14ac:dyDescent="0.3">
      <c r="A26" s="3">
        <v>22</v>
      </c>
      <c r="B26" s="8" t="s">
        <v>42</v>
      </c>
      <c r="C26" s="2">
        <v>22</v>
      </c>
      <c r="D26" s="2">
        <v>22</v>
      </c>
      <c r="E26" s="2">
        <v>20</v>
      </c>
      <c r="F26" s="2">
        <v>19</v>
      </c>
      <c r="G26" s="2">
        <v>24</v>
      </c>
      <c r="H26" s="2">
        <v>22</v>
      </c>
      <c r="I26" s="4">
        <f t="shared" si="0"/>
        <v>66</v>
      </c>
      <c r="J26" s="5">
        <f t="shared" si="1"/>
        <v>63</v>
      </c>
      <c r="K26" s="19">
        <f t="shared" si="2"/>
        <v>95.454545454545453</v>
      </c>
      <c r="L26" s="27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x14ac:dyDescent="0.3">
      <c r="A27" s="1">
        <v>23</v>
      </c>
      <c r="B27" s="9" t="s">
        <v>43</v>
      </c>
      <c r="C27" s="2">
        <v>22</v>
      </c>
      <c r="D27" s="2">
        <v>22</v>
      </c>
      <c r="E27" s="2">
        <v>20</v>
      </c>
      <c r="F27" s="2">
        <v>19</v>
      </c>
      <c r="G27" s="2">
        <v>24</v>
      </c>
      <c r="H27" s="2">
        <v>22</v>
      </c>
      <c r="I27" s="4">
        <f t="shared" si="0"/>
        <v>66</v>
      </c>
      <c r="J27" s="5">
        <f t="shared" si="1"/>
        <v>63</v>
      </c>
      <c r="K27" s="19">
        <f t="shared" si="2"/>
        <v>95.454545454545453</v>
      </c>
      <c r="L27" s="27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x14ac:dyDescent="0.3">
      <c r="A28" s="3">
        <v>24</v>
      </c>
      <c r="B28" s="8" t="s">
        <v>44</v>
      </c>
      <c r="C28" s="2">
        <v>22</v>
      </c>
      <c r="D28" s="2">
        <v>21</v>
      </c>
      <c r="E28" s="2">
        <v>20</v>
      </c>
      <c r="F28" s="2">
        <v>19</v>
      </c>
      <c r="G28" s="2">
        <v>24</v>
      </c>
      <c r="H28" s="2">
        <v>21</v>
      </c>
      <c r="I28" s="4">
        <f t="shared" si="0"/>
        <v>66</v>
      </c>
      <c r="J28" s="5">
        <f t="shared" si="1"/>
        <v>61</v>
      </c>
      <c r="K28" s="19">
        <f t="shared" si="2"/>
        <v>92.424242424242422</v>
      </c>
      <c r="L28" s="27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x14ac:dyDescent="0.3">
      <c r="A29" s="1">
        <v>25</v>
      </c>
      <c r="B29" s="8" t="s">
        <v>45</v>
      </c>
      <c r="C29" s="2">
        <v>22</v>
      </c>
      <c r="D29" s="2">
        <v>18</v>
      </c>
      <c r="E29" s="2">
        <v>20</v>
      </c>
      <c r="F29" s="2">
        <v>18</v>
      </c>
      <c r="G29" s="2">
        <v>24</v>
      </c>
      <c r="H29" s="2">
        <v>22</v>
      </c>
      <c r="I29" s="4">
        <f t="shared" si="0"/>
        <v>66</v>
      </c>
      <c r="J29" s="5">
        <f t="shared" si="1"/>
        <v>58</v>
      </c>
      <c r="K29" s="19">
        <f t="shared" si="2"/>
        <v>87.878787878787875</v>
      </c>
      <c r="L29" s="27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x14ac:dyDescent="0.3">
      <c r="A30" s="3">
        <v>26</v>
      </c>
      <c r="B30" s="8" t="s">
        <v>6</v>
      </c>
      <c r="C30" s="2">
        <v>22</v>
      </c>
      <c r="D30" s="2">
        <v>18</v>
      </c>
      <c r="E30" s="2">
        <v>20</v>
      </c>
      <c r="F30" s="2">
        <v>19</v>
      </c>
      <c r="G30" s="2">
        <v>24</v>
      </c>
      <c r="H30" s="2">
        <v>22</v>
      </c>
      <c r="I30" s="4">
        <f t="shared" si="0"/>
        <v>66</v>
      </c>
      <c r="J30" s="5">
        <f t="shared" si="1"/>
        <v>59</v>
      </c>
      <c r="K30" s="19">
        <f t="shared" si="2"/>
        <v>89.393939393939391</v>
      </c>
      <c r="L30" s="27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1:39" x14ac:dyDescent="0.3">
      <c r="A31" s="1">
        <v>27</v>
      </c>
      <c r="B31" s="8" t="s">
        <v>27</v>
      </c>
      <c r="C31" s="2">
        <v>22</v>
      </c>
      <c r="D31" s="2">
        <v>21</v>
      </c>
      <c r="E31" s="2">
        <v>20</v>
      </c>
      <c r="F31" s="2">
        <v>19</v>
      </c>
      <c r="G31" s="2">
        <v>24</v>
      </c>
      <c r="H31" s="2">
        <v>22</v>
      </c>
      <c r="I31" s="4">
        <f t="shared" si="0"/>
        <v>66</v>
      </c>
      <c r="J31" s="5">
        <f t="shared" si="1"/>
        <v>62</v>
      </c>
      <c r="K31" s="19">
        <f t="shared" si="2"/>
        <v>93.939393939393938</v>
      </c>
      <c r="L31" s="27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x14ac:dyDescent="0.3">
      <c r="A32" s="3">
        <v>28</v>
      </c>
      <c r="B32" s="8" t="s">
        <v>9</v>
      </c>
      <c r="C32" s="2">
        <v>22</v>
      </c>
      <c r="D32" s="2">
        <v>22</v>
      </c>
      <c r="E32" s="2">
        <v>20</v>
      </c>
      <c r="F32" s="2">
        <v>19</v>
      </c>
      <c r="G32" s="2">
        <v>24</v>
      </c>
      <c r="H32" s="2">
        <v>22</v>
      </c>
      <c r="I32" s="4">
        <f t="shared" si="0"/>
        <v>66</v>
      </c>
      <c r="J32" s="5">
        <f t="shared" si="1"/>
        <v>63</v>
      </c>
      <c r="K32" s="19">
        <f t="shared" si="2"/>
        <v>95.454545454545453</v>
      </c>
      <c r="L32" s="27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 x14ac:dyDescent="0.3">
      <c r="A33" s="1">
        <v>29</v>
      </c>
      <c r="B33" s="8" t="s">
        <v>10</v>
      </c>
      <c r="C33" s="2">
        <v>22</v>
      </c>
      <c r="D33" s="2">
        <v>19</v>
      </c>
      <c r="E33" s="2">
        <v>20</v>
      </c>
      <c r="F33" s="2">
        <v>19</v>
      </c>
      <c r="G33" s="2">
        <v>24</v>
      </c>
      <c r="H33" s="2">
        <v>21</v>
      </c>
      <c r="I33" s="4">
        <f t="shared" si="0"/>
        <v>66</v>
      </c>
      <c r="J33" s="5">
        <f t="shared" si="1"/>
        <v>59</v>
      </c>
      <c r="K33" s="19">
        <f t="shared" si="2"/>
        <v>89.393939393939391</v>
      </c>
      <c r="L33" s="27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x14ac:dyDescent="0.3">
      <c r="A34" s="3">
        <v>30</v>
      </c>
      <c r="B34" s="9" t="s">
        <v>46</v>
      </c>
      <c r="C34" s="2">
        <v>22</v>
      </c>
      <c r="D34" s="2">
        <v>21</v>
      </c>
      <c r="E34" s="2">
        <v>20</v>
      </c>
      <c r="F34" s="2">
        <v>19</v>
      </c>
      <c r="G34" s="2">
        <v>24</v>
      </c>
      <c r="H34" s="2">
        <v>21</v>
      </c>
      <c r="I34" s="4">
        <f t="shared" si="0"/>
        <v>66</v>
      </c>
      <c r="J34" s="5">
        <f t="shared" si="1"/>
        <v>61</v>
      </c>
      <c r="K34" s="19">
        <f t="shared" si="2"/>
        <v>92.424242424242422</v>
      </c>
      <c r="L34" s="27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 x14ac:dyDescent="0.3">
      <c r="A35" s="1">
        <v>31</v>
      </c>
      <c r="B35" s="8" t="s">
        <v>47</v>
      </c>
      <c r="C35" s="2">
        <v>22</v>
      </c>
      <c r="D35" s="2">
        <v>19</v>
      </c>
      <c r="E35" s="2">
        <v>20</v>
      </c>
      <c r="F35" s="2">
        <v>18</v>
      </c>
      <c r="G35" s="2">
        <v>24</v>
      </c>
      <c r="H35" s="2">
        <v>21</v>
      </c>
      <c r="I35" s="4">
        <f t="shared" si="0"/>
        <v>66</v>
      </c>
      <c r="J35" s="5">
        <f t="shared" si="1"/>
        <v>58</v>
      </c>
      <c r="K35" s="19">
        <f t="shared" si="2"/>
        <v>87.878787878787875</v>
      </c>
      <c r="L35" s="27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 spans="1:39" x14ac:dyDescent="0.3">
      <c r="A36" s="3">
        <v>32</v>
      </c>
      <c r="B36" s="8" t="s">
        <v>48</v>
      </c>
      <c r="C36" s="2">
        <v>22</v>
      </c>
      <c r="D36" s="2">
        <v>21</v>
      </c>
      <c r="E36" s="2">
        <v>20</v>
      </c>
      <c r="F36" s="2">
        <v>19</v>
      </c>
      <c r="G36" s="2">
        <v>24</v>
      </c>
      <c r="H36" s="2">
        <v>22</v>
      </c>
      <c r="I36" s="4">
        <f t="shared" si="0"/>
        <v>66</v>
      </c>
      <c r="J36" s="5">
        <f t="shared" si="1"/>
        <v>62</v>
      </c>
      <c r="K36" s="19">
        <f t="shared" si="2"/>
        <v>93.939393939393938</v>
      </c>
      <c r="L36" s="27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spans="1:39" x14ac:dyDescent="0.3">
      <c r="A37" s="1">
        <v>33</v>
      </c>
      <c r="B37" s="9" t="s">
        <v>17</v>
      </c>
      <c r="C37" s="2">
        <v>22</v>
      </c>
      <c r="D37" s="2">
        <v>22</v>
      </c>
      <c r="E37" s="2">
        <v>20</v>
      </c>
      <c r="F37" s="2">
        <v>19</v>
      </c>
      <c r="G37" s="2">
        <v>24</v>
      </c>
      <c r="H37" s="2">
        <v>22</v>
      </c>
      <c r="I37" s="4">
        <f t="shared" si="0"/>
        <v>66</v>
      </c>
      <c r="J37" s="5">
        <f t="shared" si="1"/>
        <v>63</v>
      </c>
      <c r="K37" s="19">
        <f t="shared" si="2"/>
        <v>95.454545454545453</v>
      </c>
      <c r="L37" s="27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 x14ac:dyDescent="0.3">
      <c r="A38" s="3">
        <v>34</v>
      </c>
      <c r="B38" s="8" t="s">
        <v>49</v>
      </c>
      <c r="C38" s="2">
        <v>22</v>
      </c>
      <c r="D38" s="2">
        <v>22</v>
      </c>
      <c r="E38" s="2">
        <v>20</v>
      </c>
      <c r="F38" s="2">
        <v>19</v>
      </c>
      <c r="G38" s="2">
        <v>24</v>
      </c>
      <c r="H38" s="2">
        <v>24</v>
      </c>
      <c r="I38" s="4">
        <f t="shared" si="0"/>
        <v>66</v>
      </c>
      <c r="J38" s="5">
        <f t="shared" si="1"/>
        <v>65</v>
      </c>
      <c r="K38" s="19">
        <f t="shared" si="2"/>
        <v>98.484848484848484</v>
      </c>
      <c r="L38" s="27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 spans="1:39" x14ac:dyDescent="0.3">
      <c r="A39" s="1">
        <v>35</v>
      </c>
      <c r="B39" s="8" t="s">
        <v>50</v>
      </c>
      <c r="C39" s="2">
        <v>22</v>
      </c>
      <c r="D39" s="2">
        <v>20</v>
      </c>
      <c r="E39" s="2">
        <v>20</v>
      </c>
      <c r="F39" s="2">
        <v>10</v>
      </c>
      <c r="G39" s="2">
        <v>24</v>
      </c>
      <c r="H39" s="2">
        <v>22</v>
      </c>
      <c r="I39" s="4">
        <f t="shared" si="0"/>
        <v>66</v>
      </c>
      <c r="J39" s="5">
        <f t="shared" si="1"/>
        <v>52</v>
      </c>
      <c r="K39" s="19">
        <f t="shared" si="2"/>
        <v>78.787878787878782</v>
      </c>
      <c r="L39" s="27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spans="1:39" x14ac:dyDescent="0.3">
      <c r="A40" s="3">
        <v>36</v>
      </c>
      <c r="B40" s="8" t="s">
        <v>51</v>
      </c>
      <c r="C40" s="2">
        <v>22</v>
      </c>
      <c r="D40" s="2">
        <v>22</v>
      </c>
      <c r="E40" s="2">
        <v>20</v>
      </c>
      <c r="F40" s="2">
        <v>18</v>
      </c>
      <c r="G40" s="2">
        <v>24</v>
      </c>
      <c r="H40" s="2">
        <v>22</v>
      </c>
      <c r="I40" s="4">
        <f t="shared" si="0"/>
        <v>66</v>
      </c>
      <c r="J40" s="5">
        <f t="shared" si="1"/>
        <v>62</v>
      </c>
      <c r="K40" s="19">
        <f t="shared" si="2"/>
        <v>93.939393939393938</v>
      </c>
      <c r="L40" s="27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x14ac:dyDescent="0.3">
      <c r="A41" s="1">
        <v>37</v>
      </c>
      <c r="B41" s="8" t="s">
        <v>19</v>
      </c>
      <c r="C41" s="2">
        <v>22</v>
      </c>
      <c r="D41" s="2">
        <v>22</v>
      </c>
      <c r="E41" s="2">
        <v>20</v>
      </c>
      <c r="F41" s="2">
        <v>19</v>
      </c>
      <c r="G41" s="2">
        <v>24</v>
      </c>
      <c r="H41" s="2">
        <v>22</v>
      </c>
      <c r="I41" s="4">
        <f t="shared" si="0"/>
        <v>66</v>
      </c>
      <c r="J41" s="5">
        <f t="shared" si="1"/>
        <v>63</v>
      </c>
      <c r="K41" s="19">
        <f t="shared" si="2"/>
        <v>95.454545454545453</v>
      </c>
      <c r="L41" s="27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</row>
    <row r="42" spans="1:39" x14ac:dyDescent="0.3">
      <c r="A42" s="3">
        <v>38</v>
      </c>
      <c r="B42" s="8" t="s">
        <v>20</v>
      </c>
      <c r="C42" s="2">
        <v>22</v>
      </c>
      <c r="D42" s="2">
        <v>16</v>
      </c>
      <c r="E42" s="2">
        <v>20</v>
      </c>
      <c r="F42" s="2">
        <v>17</v>
      </c>
      <c r="G42" s="2">
        <v>24</v>
      </c>
      <c r="H42" s="2">
        <v>21</v>
      </c>
      <c r="I42" s="4">
        <f t="shared" si="0"/>
        <v>66</v>
      </c>
      <c r="J42" s="5">
        <f t="shared" si="1"/>
        <v>54</v>
      </c>
      <c r="K42" s="19">
        <f t="shared" si="2"/>
        <v>81.818181818181813</v>
      </c>
      <c r="L42" s="27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 x14ac:dyDescent="0.3">
      <c r="A43" s="1">
        <v>39</v>
      </c>
      <c r="B43" s="8" t="s">
        <v>52</v>
      </c>
      <c r="C43" s="2">
        <v>22</v>
      </c>
      <c r="D43" s="2">
        <v>21</v>
      </c>
      <c r="E43" s="2">
        <v>20</v>
      </c>
      <c r="F43" s="2">
        <v>19</v>
      </c>
      <c r="G43" s="2">
        <v>24</v>
      </c>
      <c r="H43" s="2">
        <v>17</v>
      </c>
      <c r="I43" s="4">
        <f t="shared" si="0"/>
        <v>66</v>
      </c>
      <c r="J43" s="5">
        <f t="shared" si="1"/>
        <v>57</v>
      </c>
      <c r="K43" s="19">
        <f t="shared" si="2"/>
        <v>86.36363636363636</v>
      </c>
      <c r="L43" s="27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 x14ac:dyDescent="0.3">
      <c r="A44" s="3">
        <v>40</v>
      </c>
      <c r="B44" s="8" t="s">
        <v>32</v>
      </c>
      <c r="C44" s="2">
        <v>22</v>
      </c>
      <c r="D44" s="2">
        <v>22</v>
      </c>
      <c r="E44" s="2">
        <v>20</v>
      </c>
      <c r="F44" s="2">
        <v>19</v>
      </c>
      <c r="G44" s="2">
        <v>24</v>
      </c>
      <c r="H44" s="2">
        <v>21</v>
      </c>
      <c r="I44" s="4">
        <f t="shared" si="0"/>
        <v>66</v>
      </c>
      <c r="J44" s="5">
        <f t="shared" si="1"/>
        <v>62</v>
      </c>
      <c r="K44" s="19">
        <f t="shared" si="2"/>
        <v>93.939393939393938</v>
      </c>
      <c r="L44" s="27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1:39" x14ac:dyDescent="0.3">
      <c r="A45" s="1">
        <v>41</v>
      </c>
      <c r="B45" s="8" t="s">
        <v>11</v>
      </c>
      <c r="C45" s="2">
        <v>22</v>
      </c>
      <c r="D45" s="2">
        <v>20</v>
      </c>
      <c r="E45" s="2">
        <v>20</v>
      </c>
      <c r="F45" s="2">
        <v>18</v>
      </c>
      <c r="G45" s="2">
        <v>24</v>
      </c>
      <c r="H45" s="2">
        <v>22</v>
      </c>
      <c r="I45" s="4">
        <f t="shared" si="0"/>
        <v>66</v>
      </c>
      <c r="J45" s="5">
        <f t="shared" si="1"/>
        <v>60</v>
      </c>
      <c r="K45" s="19">
        <f t="shared" si="2"/>
        <v>90.909090909090907</v>
      </c>
      <c r="L45" s="27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 spans="1:39" x14ac:dyDescent="0.3">
      <c r="A46" s="3">
        <v>42</v>
      </c>
      <c r="B46" s="8" t="s">
        <v>21</v>
      </c>
      <c r="C46" s="2">
        <v>22</v>
      </c>
      <c r="D46" s="2">
        <v>22</v>
      </c>
      <c r="E46" s="2">
        <v>20</v>
      </c>
      <c r="F46" s="2">
        <v>19</v>
      </c>
      <c r="G46" s="2">
        <v>24</v>
      </c>
      <c r="H46" s="2">
        <v>21</v>
      </c>
      <c r="I46" s="4">
        <f t="shared" si="0"/>
        <v>66</v>
      </c>
      <c r="J46" s="5">
        <f t="shared" si="1"/>
        <v>62</v>
      </c>
      <c r="K46" s="19">
        <f t="shared" si="2"/>
        <v>93.939393939393938</v>
      </c>
      <c r="L46" s="27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 spans="1:39" x14ac:dyDescent="0.3">
      <c r="A47" s="1">
        <v>43</v>
      </c>
      <c r="B47" s="8" t="s">
        <v>29</v>
      </c>
      <c r="C47" s="2">
        <v>22</v>
      </c>
      <c r="D47" s="2">
        <v>13</v>
      </c>
      <c r="E47" s="2">
        <v>20</v>
      </c>
      <c r="F47" s="2">
        <v>14</v>
      </c>
      <c r="G47" s="2">
        <v>24</v>
      </c>
      <c r="H47" s="2">
        <v>20</v>
      </c>
      <c r="I47" s="4">
        <f t="shared" si="0"/>
        <v>66</v>
      </c>
      <c r="J47" s="5">
        <f t="shared" si="1"/>
        <v>47</v>
      </c>
      <c r="K47" s="19">
        <f t="shared" si="2"/>
        <v>71.212121212121218</v>
      </c>
      <c r="L47" s="27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spans="1:39" x14ac:dyDescent="0.3">
      <c r="A48" s="3">
        <v>44</v>
      </c>
      <c r="B48" s="8" t="s">
        <v>22</v>
      </c>
      <c r="C48" s="2">
        <v>22</v>
      </c>
      <c r="D48" s="2">
        <v>12</v>
      </c>
      <c r="E48" s="2">
        <v>20</v>
      </c>
      <c r="F48" s="2">
        <v>17</v>
      </c>
      <c r="G48" s="2">
        <v>24</v>
      </c>
      <c r="H48" s="2">
        <v>22</v>
      </c>
      <c r="I48" s="4">
        <f t="shared" si="0"/>
        <v>66</v>
      </c>
      <c r="J48" s="5">
        <f t="shared" si="1"/>
        <v>51</v>
      </c>
      <c r="K48" s="19">
        <f t="shared" si="2"/>
        <v>77.272727272727266</v>
      </c>
      <c r="L48" s="27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1:39" x14ac:dyDescent="0.3">
      <c r="A49" s="1">
        <v>45</v>
      </c>
      <c r="B49" s="8" t="s">
        <v>53</v>
      </c>
      <c r="C49" s="2">
        <v>22</v>
      </c>
      <c r="D49" s="2">
        <v>19</v>
      </c>
      <c r="E49" s="2">
        <v>20</v>
      </c>
      <c r="F49" s="2">
        <v>20</v>
      </c>
      <c r="G49" s="2">
        <v>24</v>
      </c>
      <c r="H49" s="2">
        <v>22</v>
      </c>
      <c r="I49" s="4">
        <f t="shared" si="0"/>
        <v>66</v>
      </c>
      <c r="J49" s="5">
        <f t="shared" si="1"/>
        <v>61</v>
      </c>
      <c r="K49" s="19">
        <f t="shared" si="2"/>
        <v>92.424242424242422</v>
      </c>
      <c r="L49" s="27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 spans="1:39" x14ac:dyDescent="0.3">
      <c r="A50" s="3">
        <v>46</v>
      </c>
      <c r="B50" s="8" t="s">
        <v>38</v>
      </c>
      <c r="C50" s="2">
        <v>22</v>
      </c>
      <c r="D50" s="2">
        <v>22</v>
      </c>
      <c r="E50" s="2">
        <v>20</v>
      </c>
      <c r="F50" s="2">
        <v>17</v>
      </c>
      <c r="G50" s="2">
        <v>24</v>
      </c>
      <c r="H50" s="2">
        <v>22</v>
      </c>
      <c r="I50" s="4">
        <f t="shared" si="0"/>
        <v>66</v>
      </c>
      <c r="J50" s="5">
        <f t="shared" si="1"/>
        <v>61</v>
      </c>
      <c r="K50" s="19">
        <f t="shared" si="2"/>
        <v>92.424242424242422</v>
      </c>
      <c r="L50" s="27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 spans="1:39" x14ac:dyDescent="0.3">
      <c r="A51" s="1">
        <v>47</v>
      </c>
      <c r="B51" s="8" t="s">
        <v>33</v>
      </c>
      <c r="C51" s="2">
        <v>22</v>
      </c>
      <c r="D51" s="2">
        <v>20</v>
      </c>
      <c r="E51" s="2">
        <v>20</v>
      </c>
      <c r="F51" s="2">
        <v>16</v>
      </c>
      <c r="G51" s="2">
        <v>24</v>
      </c>
      <c r="H51" s="2">
        <v>22</v>
      </c>
      <c r="I51" s="4">
        <f t="shared" si="0"/>
        <v>66</v>
      </c>
      <c r="J51" s="5">
        <f t="shared" si="1"/>
        <v>58</v>
      </c>
      <c r="K51" s="19">
        <f t="shared" si="2"/>
        <v>87.878787878787875</v>
      </c>
      <c r="L51" s="27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 spans="1:39" x14ac:dyDescent="0.3">
      <c r="A52" s="3">
        <v>48</v>
      </c>
      <c r="B52" s="8" t="s">
        <v>23</v>
      </c>
      <c r="C52" s="2">
        <v>22</v>
      </c>
      <c r="D52" s="2">
        <v>22</v>
      </c>
      <c r="E52" s="2">
        <v>20</v>
      </c>
      <c r="F52" s="2">
        <v>19</v>
      </c>
      <c r="G52" s="2">
        <v>24</v>
      </c>
      <c r="H52" s="2">
        <v>22</v>
      </c>
      <c r="I52" s="4">
        <f t="shared" si="0"/>
        <v>66</v>
      </c>
      <c r="J52" s="5">
        <f t="shared" si="1"/>
        <v>63</v>
      </c>
      <c r="K52" s="19">
        <f t="shared" si="2"/>
        <v>95.454545454545453</v>
      </c>
      <c r="L52" s="27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1:39" x14ac:dyDescent="0.3">
      <c r="A53" s="1">
        <v>49</v>
      </c>
      <c r="B53" s="8" t="s">
        <v>54</v>
      </c>
      <c r="C53" s="2">
        <v>22</v>
      </c>
      <c r="D53" s="2">
        <v>22</v>
      </c>
      <c r="E53" s="2">
        <v>20</v>
      </c>
      <c r="F53" s="2">
        <v>18</v>
      </c>
      <c r="G53" s="2">
        <v>24</v>
      </c>
      <c r="H53" s="2">
        <v>11</v>
      </c>
      <c r="I53" s="4">
        <f t="shared" si="0"/>
        <v>66</v>
      </c>
      <c r="J53" s="5">
        <f t="shared" si="1"/>
        <v>51</v>
      </c>
      <c r="K53" s="19">
        <f t="shared" si="2"/>
        <v>77.272727272727266</v>
      </c>
      <c r="L53" s="27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spans="1:39" x14ac:dyDescent="0.3">
      <c r="A54" s="3">
        <v>50</v>
      </c>
      <c r="B54" s="8" t="s">
        <v>55</v>
      </c>
      <c r="C54" s="2">
        <v>22</v>
      </c>
      <c r="D54" s="2">
        <v>12</v>
      </c>
      <c r="E54" s="2">
        <v>20</v>
      </c>
      <c r="F54" s="2">
        <v>18</v>
      </c>
      <c r="G54" s="2">
        <v>24</v>
      </c>
      <c r="H54" s="2">
        <v>12</v>
      </c>
      <c r="I54" s="4">
        <f t="shared" si="0"/>
        <v>66</v>
      </c>
      <c r="J54" s="5">
        <f t="shared" si="1"/>
        <v>42</v>
      </c>
      <c r="K54" s="19">
        <f t="shared" si="2"/>
        <v>63.636363636363633</v>
      </c>
      <c r="L54" s="27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 x14ac:dyDescent="0.3">
      <c r="A55" s="1">
        <v>51</v>
      </c>
      <c r="B55" s="8" t="s">
        <v>63</v>
      </c>
      <c r="C55" s="2">
        <v>22</v>
      </c>
      <c r="D55" s="2">
        <v>22</v>
      </c>
      <c r="E55" s="2">
        <v>20</v>
      </c>
      <c r="F55" s="2">
        <v>19</v>
      </c>
      <c r="G55" s="2">
        <v>24</v>
      </c>
      <c r="H55" s="2">
        <v>24</v>
      </c>
      <c r="I55" s="4">
        <f t="shared" si="0"/>
        <v>66</v>
      </c>
      <c r="J55" s="5">
        <f t="shared" si="1"/>
        <v>65</v>
      </c>
      <c r="K55" s="19">
        <f t="shared" si="2"/>
        <v>98.484848484848484</v>
      </c>
      <c r="L55" s="27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 spans="1:39" x14ac:dyDescent="0.3">
      <c r="A56" s="3">
        <v>52</v>
      </c>
      <c r="B56" s="9" t="s">
        <v>63</v>
      </c>
      <c r="C56" s="2">
        <v>22</v>
      </c>
      <c r="D56" s="2">
        <v>5</v>
      </c>
      <c r="E56" s="2">
        <v>20</v>
      </c>
      <c r="F56" s="2">
        <v>3</v>
      </c>
      <c r="G56" s="2">
        <v>24</v>
      </c>
      <c r="H56" s="2">
        <v>15</v>
      </c>
      <c r="I56" s="4">
        <f t="shared" si="0"/>
        <v>66</v>
      </c>
      <c r="J56" s="5">
        <f t="shared" si="1"/>
        <v>23</v>
      </c>
      <c r="K56" s="19">
        <f t="shared" si="2"/>
        <v>34.848484848484851</v>
      </c>
      <c r="L56" s="27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1:39" x14ac:dyDescent="0.3">
      <c r="A57" s="1">
        <v>53</v>
      </c>
      <c r="B57" s="9" t="s">
        <v>56</v>
      </c>
      <c r="C57" s="2">
        <v>22</v>
      </c>
      <c r="D57" s="2">
        <v>18</v>
      </c>
      <c r="E57" s="2">
        <v>20</v>
      </c>
      <c r="F57" s="2">
        <v>18</v>
      </c>
      <c r="G57" s="2">
        <v>24</v>
      </c>
      <c r="H57" s="2">
        <v>23</v>
      </c>
      <c r="I57" s="4">
        <f t="shared" si="0"/>
        <v>66</v>
      </c>
      <c r="J57" s="5">
        <f t="shared" si="1"/>
        <v>59</v>
      </c>
      <c r="K57" s="19">
        <f t="shared" si="2"/>
        <v>89.393939393939391</v>
      </c>
      <c r="L57" s="27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spans="1:39" x14ac:dyDescent="0.3">
      <c r="A58" s="3">
        <v>54</v>
      </c>
      <c r="B58" s="9" t="s">
        <v>57</v>
      </c>
      <c r="C58" s="2">
        <v>22</v>
      </c>
      <c r="D58" s="2">
        <v>21</v>
      </c>
      <c r="E58" s="2">
        <v>20</v>
      </c>
      <c r="F58" s="2">
        <v>19</v>
      </c>
      <c r="G58" s="2">
        <v>24</v>
      </c>
      <c r="H58" s="2">
        <v>22</v>
      </c>
      <c r="I58" s="4">
        <f t="shared" si="0"/>
        <v>66</v>
      </c>
      <c r="J58" s="5">
        <f t="shared" si="1"/>
        <v>62</v>
      </c>
      <c r="K58" s="19">
        <f t="shared" si="2"/>
        <v>93.939393939393938</v>
      </c>
      <c r="L58" s="27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 x14ac:dyDescent="0.3">
      <c r="A59" s="1">
        <v>55</v>
      </c>
      <c r="B59" s="8" t="s">
        <v>58</v>
      </c>
      <c r="C59" s="2">
        <v>22</v>
      </c>
      <c r="D59" s="2">
        <v>22</v>
      </c>
      <c r="E59" s="2">
        <v>20</v>
      </c>
      <c r="F59" s="2">
        <v>17</v>
      </c>
      <c r="G59" s="2">
        <v>24</v>
      </c>
      <c r="H59" s="2">
        <v>20</v>
      </c>
      <c r="I59" s="4">
        <f t="shared" si="0"/>
        <v>66</v>
      </c>
      <c r="J59" s="5">
        <f t="shared" si="1"/>
        <v>59</v>
      </c>
      <c r="K59" s="19">
        <f t="shared" si="2"/>
        <v>89.393939393939391</v>
      </c>
      <c r="L59" s="27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  <row r="60" spans="1:39" x14ac:dyDescent="0.3">
      <c r="A60" s="3">
        <v>56</v>
      </c>
      <c r="B60" s="8" t="s">
        <v>59</v>
      </c>
      <c r="C60" s="2">
        <v>22</v>
      </c>
      <c r="D60" s="2">
        <v>19</v>
      </c>
      <c r="E60" s="2">
        <v>20</v>
      </c>
      <c r="F60" s="2">
        <v>18</v>
      </c>
      <c r="G60" s="2">
        <v>24</v>
      </c>
      <c r="H60" s="2">
        <v>17</v>
      </c>
      <c r="I60" s="4">
        <f t="shared" si="0"/>
        <v>66</v>
      </c>
      <c r="J60" s="5">
        <f t="shared" si="1"/>
        <v>54</v>
      </c>
      <c r="K60" s="19">
        <f t="shared" si="2"/>
        <v>81.818181818181813</v>
      </c>
      <c r="L60" s="27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 spans="1:39" x14ac:dyDescent="0.3">
      <c r="A61" s="10">
        <v>57</v>
      </c>
      <c r="B61" s="11" t="s">
        <v>60</v>
      </c>
      <c r="C61" s="2">
        <v>22</v>
      </c>
      <c r="D61" s="12">
        <v>22</v>
      </c>
      <c r="E61" s="2">
        <v>20</v>
      </c>
      <c r="F61" s="12">
        <v>17</v>
      </c>
      <c r="G61" s="2">
        <v>24</v>
      </c>
      <c r="H61" s="12">
        <v>22</v>
      </c>
      <c r="I61" s="4">
        <f t="shared" si="0"/>
        <v>66</v>
      </c>
      <c r="J61" s="5">
        <f t="shared" si="1"/>
        <v>61</v>
      </c>
      <c r="K61" s="19">
        <f t="shared" si="2"/>
        <v>92.424242424242422</v>
      </c>
      <c r="L61" s="27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</row>
    <row r="62" spans="1:39" x14ac:dyDescent="0.3">
      <c r="A62" s="3">
        <v>58</v>
      </c>
      <c r="B62" s="8" t="s">
        <v>61</v>
      </c>
      <c r="C62" s="2">
        <v>22</v>
      </c>
      <c r="D62" s="14">
        <v>15</v>
      </c>
      <c r="E62" s="2">
        <v>20</v>
      </c>
      <c r="F62" s="14">
        <v>16</v>
      </c>
      <c r="G62" s="2">
        <v>24</v>
      </c>
      <c r="H62" s="13">
        <v>16</v>
      </c>
      <c r="I62" s="4">
        <f>C62+E62+G62</f>
        <v>66</v>
      </c>
      <c r="J62" s="5">
        <f t="shared" si="1"/>
        <v>47</v>
      </c>
      <c r="K62" s="19">
        <f t="shared" si="2"/>
        <v>71.212121212121218</v>
      </c>
      <c r="L62" s="27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spans="1:39" x14ac:dyDescent="0.3">
      <c r="A63" s="10">
        <v>59</v>
      </c>
      <c r="B63" s="8" t="s">
        <v>37</v>
      </c>
      <c r="C63" s="2">
        <v>22</v>
      </c>
      <c r="D63" s="14">
        <v>22</v>
      </c>
      <c r="E63" s="2">
        <v>20</v>
      </c>
      <c r="F63" s="14">
        <v>18</v>
      </c>
      <c r="G63" s="2">
        <v>24</v>
      </c>
      <c r="H63" s="13">
        <v>21</v>
      </c>
      <c r="I63" s="4">
        <f t="shared" si="0"/>
        <v>66</v>
      </c>
      <c r="J63" s="5">
        <f t="shared" si="1"/>
        <v>61</v>
      </c>
      <c r="K63" s="19">
        <f t="shared" si="2"/>
        <v>92.424242424242422</v>
      </c>
      <c r="L63" s="27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 spans="1:39" x14ac:dyDescent="0.3">
      <c r="A64" s="3">
        <v>60</v>
      </c>
      <c r="B64" s="8" t="s">
        <v>31</v>
      </c>
      <c r="C64" s="2">
        <v>22</v>
      </c>
      <c r="D64" s="14">
        <v>22</v>
      </c>
      <c r="E64" s="2">
        <v>20</v>
      </c>
      <c r="F64" s="14">
        <v>19</v>
      </c>
      <c r="G64" s="2">
        <v>24</v>
      </c>
      <c r="H64" s="13">
        <v>21</v>
      </c>
      <c r="I64" s="4">
        <f t="shared" si="0"/>
        <v>66</v>
      </c>
      <c r="J64" s="5">
        <f t="shared" si="1"/>
        <v>62</v>
      </c>
      <c r="K64" s="19">
        <f t="shared" si="2"/>
        <v>93.939393939393938</v>
      </c>
      <c r="L64" s="27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 s="26" customFormat="1" x14ac:dyDescent="0.3"/>
    <row r="66" s="26" customFormat="1" x14ac:dyDescent="0.3"/>
    <row r="67" s="26" customFormat="1" x14ac:dyDescent="0.3"/>
    <row r="68" s="26" customFormat="1" x14ac:dyDescent="0.3"/>
    <row r="69" s="26" customFormat="1" x14ac:dyDescent="0.3"/>
    <row r="70" s="26" customFormat="1" x14ac:dyDescent="0.3"/>
    <row r="71" s="26" customFormat="1" x14ac:dyDescent="0.3"/>
    <row r="72" s="26" customFormat="1" x14ac:dyDescent="0.3"/>
    <row r="73" s="26" customFormat="1" x14ac:dyDescent="0.3"/>
    <row r="74" s="26" customFormat="1" x14ac:dyDescent="0.3"/>
    <row r="75" s="26" customFormat="1" x14ac:dyDescent="0.3"/>
    <row r="76" s="26" customFormat="1" x14ac:dyDescent="0.3"/>
    <row r="77" s="26" customFormat="1" x14ac:dyDescent="0.3"/>
    <row r="78" s="26" customFormat="1" x14ac:dyDescent="0.3"/>
    <row r="79" s="26" customFormat="1" x14ac:dyDescent="0.3"/>
    <row r="80" s="26" customFormat="1" x14ac:dyDescent="0.3"/>
    <row r="81" s="26" customFormat="1" x14ac:dyDescent="0.3"/>
    <row r="82" s="26" customFormat="1" x14ac:dyDescent="0.3"/>
    <row r="83" s="26" customFormat="1" x14ac:dyDescent="0.3"/>
    <row r="84" s="26" customFormat="1" x14ac:dyDescent="0.3"/>
    <row r="85" s="26" customFormat="1" x14ac:dyDescent="0.3"/>
    <row r="86" s="26" customFormat="1" x14ac:dyDescent="0.3"/>
    <row r="87" s="26" customFormat="1" x14ac:dyDescent="0.3"/>
    <row r="88" s="26" customFormat="1" x14ac:dyDescent="0.3"/>
    <row r="89" s="26" customFormat="1" x14ac:dyDescent="0.3"/>
    <row r="90" s="26" customFormat="1" x14ac:dyDescent="0.3"/>
    <row r="91" s="26" customFormat="1" x14ac:dyDescent="0.3"/>
    <row r="92" s="26" customFormat="1" x14ac:dyDescent="0.3"/>
    <row r="93" s="26" customFormat="1" x14ac:dyDescent="0.3"/>
    <row r="94" s="26" customFormat="1" x14ac:dyDescent="0.3"/>
    <row r="95" s="26" customFormat="1" x14ac:dyDescent="0.3"/>
    <row r="96" s="26" customFormat="1" x14ac:dyDescent="0.3"/>
    <row r="97" s="26" customFormat="1" x14ac:dyDescent="0.3"/>
    <row r="98" s="26" customFormat="1" x14ac:dyDescent="0.3"/>
    <row r="99" s="26" customFormat="1" x14ac:dyDescent="0.3"/>
    <row r="100" s="26" customFormat="1" x14ac:dyDescent="0.3"/>
    <row r="101" s="26" customFormat="1" x14ac:dyDescent="0.3"/>
    <row r="102" s="26" customFormat="1" x14ac:dyDescent="0.3"/>
    <row r="103" s="26" customFormat="1" x14ac:dyDescent="0.3"/>
    <row r="104" s="26" customFormat="1" x14ac:dyDescent="0.3"/>
    <row r="105" s="26" customFormat="1" x14ac:dyDescent="0.3"/>
    <row r="106" s="26" customFormat="1" x14ac:dyDescent="0.3"/>
    <row r="107" s="26" customFormat="1" x14ac:dyDescent="0.3"/>
    <row r="108" s="26" customFormat="1" x14ac:dyDescent="0.3"/>
    <row r="109" s="26" customFormat="1" x14ac:dyDescent="0.3"/>
    <row r="110" s="26" customFormat="1" x14ac:dyDescent="0.3"/>
    <row r="111" s="26" customFormat="1" x14ac:dyDescent="0.3"/>
    <row r="112" s="26" customFormat="1" x14ac:dyDescent="0.3"/>
    <row r="113" s="26" customFormat="1" x14ac:dyDescent="0.3"/>
    <row r="114" s="26" customFormat="1" x14ac:dyDescent="0.3"/>
    <row r="115" s="26" customFormat="1" x14ac:dyDescent="0.3"/>
    <row r="116" s="26" customFormat="1" x14ac:dyDescent="0.3"/>
    <row r="117" s="26" customFormat="1" x14ac:dyDescent="0.3"/>
    <row r="118" s="26" customFormat="1" x14ac:dyDescent="0.3"/>
    <row r="119" s="26" customFormat="1" x14ac:dyDescent="0.3"/>
    <row r="120" s="26" customFormat="1" x14ac:dyDescent="0.3"/>
    <row r="121" s="26" customFormat="1" x14ac:dyDescent="0.3"/>
    <row r="122" s="26" customFormat="1" x14ac:dyDescent="0.3"/>
    <row r="123" s="26" customFormat="1" x14ac:dyDescent="0.3"/>
    <row r="124" s="26" customFormat="1" x14ac:dyDescent="0.3"/>
    <row r="125" s="26" customFormat="1" x14ac:dyDescent="0.3"/>
    <row r="126" s="26" customFormat="1" x14ac:dyDescent="0.3"/>
    <row r="127" s="26" customFormat="1" x14ac:dyDescent="0.3"/>
    <row r="128" s="26" customFormat="1" x14ac:dyDescent="0.3"/>
    <row r="129" s="26" customFormat="1" x14ac:dyDescent="0.3"/>
    <row r="130" s="26" customFormat="1" x14ac:dyDescent="0.3"/>
    <row r="131" s="26" customFormat="1" x14ac:dyDescent="0.3"/>
    <row r="132" s="26" customFormat="1" x14ac:dyDescent="0.3"/>
    <row r="133" s="26" customFormat="1" x14ac:dyDescent="0.3"/>
    <row r="134" s="26" customFormat="1" x14ac:dyDescent="0.3"/>
    <row r="135" s="26" customFormat="1" x14ac:dyDescent="0.3"/>
    <row r="136" s="26" customFormat="1" x14ac:dyDescent="0.3"/>
    <row r="137" s="26" customFormat="1" x14ac:dyDescent="0.3"/>
    <row r="138" s="26" customFormat="1" x14ac:dyDescent="0.3"/>
    <row r="139" s="26" customFormat="1" x14ac:dyDescent="0.3"/>
    <row r="140" s="26" customFormat="1" x14ac:dyDescent="0.3"/>
    <row r="141" s="26" customFormat="1" x14ac:dyDescent="0.3"/>
    <row r="142" s="26" customFormat="1" x14ac:dyDescent="0.3"/>
    <row r="143" s="26" customFormat="1" x14ac:dyDescent="0.3"/>
    <row r="144" s="26" customFormat="1" x14ac:dyDescent="0.3"/>
    <row r="145" s="26" customFormat="1" x14ac:dyDescent="0.3"/>
    <row r="146" s="26" customFormat="1" x14ac:dyDescent="0.3"/>
    <row r="147" s="26" customFormat="1" x14ac:dyDescent="0.3"/>
    <row r="148" s="26" customFormat="1" x14ac:dyDescent="0.3"/>
    <row r="149" s="26" customFormat="1" x14ac:dyDescent="0.3"/>
    <row r="150" s="26" customFormat="1" x14ac:dyDescent="0.3"/>
    <row r="151" s="26" customFormat="1" x14ac:dyDescent="0.3"/>
    <row r="152" s="26" customFormat="1" x14ac:dyDescent="0.3"/>
    <row r="153" s="26" customFormat="1" x14ac:dyDescent="0.3"/>
    <row r="154" s="26" customFormat="1" x14ac:dyDescent="0.3"/>
    <row r="155" s="26" customFormat="1" x14ac:dyDescent="0.3"/>
    <row r="156" s="26" customFormat="1" x14ac:dyDescent="0.3"/>
    <row r="157" s="26" customFormat="1" x14ac:dyDescent="0.3"/>
    <row r="158" s="26" customFormat="1" x14ac:dyDescent="0.3"/>
    <row r="159" s="26" customFormat="1" x14ac:dyDescent="0.3"/>
    <row r="160" s="26" customFormat="1" x14ac:dyDescent="0.3"/>
    <row r="161" s="26" customFormat="1" x14ac:dyDescent="0.3"/>
    <row r="162" s="26" customFormat="1" x14ac:dyDescent="0.3"/>
    <row r="163" s="26" customFormat="1" x14ac:dyDescent="0.3"/>
    <row r="164" s="26" customFormat="1" x14ac:dyDescent="0.3"/>
    <row r="165" s="26" customFormat="1" x14ac:dyDescent="0.3"/>
    <row r="166" s="26" customFormat="1" x14ac:dyDescent="0.3"/>
    <row r="167" s="26" customFormat="1" x14ac:dyDescent="0.3"/>
    <row r="168" s="26" customFormat="1" x14ac:dyDescent="0.3"/>
    <row r="169" s="26" customFormat="1" x14ac:dyDescent="0.3"/>
    <row r="170" s="26" customFormat="1" x14ac:dyDescent="0.3"/>
    <row r="171" s="26" customFormat="1" x14ac:dyDescent="0.3"/>
    <row r="172" s="26" customFormat="1" x14ac:dyDescent="0.3"/>
    <row r="173" s="26" customFormat="1" x14ac:dyDescent="0.3"/>
    <row r="174" s="26" customFormat="1" x14ac:dyDescent="0.3"/>
    <row r="175" s="26" customFormat="1" x14ac:dyDescent="0.3"/>
    <row r="176" s="26" customFormat="1" x14ac:dyDescent="0.3"/>
    <row r="177" s="26" customFormat="1" x14ac:dyDescent="0.3"/>
    <row r="178" s="26" customFormat="1" x14ac:dyDescent="0.3"/>
    <row r="179" s="26" customFormat="1" x14ac:dyDescent="0.3"/>
    <row r="180" s="26" customFormat="1" x14ac:dyDescent="0.3"/>
    <row r="181" s="26" customFormat="1" x14ac:dyDescent="0.3"/>
    <row r="182" s="26" customFormat="1" x14ac:dyDescent="0.3"/>
    <row r="183" s="26" customFormat="1" x14ac:dyDescent="0.3"/>
    <row r="184" s="26" customFormat="1" x14ac:dyDescent="0.3"/>
    <row r="185" s="26" customFormat="1" x14ac:dyDescent="0.3"/>
    <row r="186" s="26" customFormat="1" x14ac:dyDescent="0.3"/>
    <row r="187" s="26" customFormat="1" x14ac:dyDescent="0.3"/>
    <row r="188" s="26" customFormat="1" x14ac:dyDescent="0.3"/>
    <row r="189" s="26" customFormat="1" x14ac:dyDescent="0.3"/>
    <row r="190" s="26" customFormat="1" x14ac:dyDescent="0.3"/>
    <row r="191" s="26" customFormat="1" x14ac:dyDescent="0.3"/>
    <row r="192" s="26" customFormat="1" x14ac:dyDescent="0.3"/>
    <row r="193" s="26" customFormat="1" x14ac:dyDescent="0.3"/>
    <row r="194" s="26" customFormat="1" x14ac:dyDescent="0.3"/>
    <row r="195" s="26" customFormat="1" x14ac:dyDescent="0.3"/>
    <row r="196" s="26" customFormat="1" x14ac:dyDescent="0.3"/>
    <row r="197" s="26" customFormat="1" x14ac:dyDescent="0.3"/>
    <row r="198" s="26" customFormat="1" x14ac:dyDescent="0.3"/>
    <row r="199" s="26" customFormat="1" x14ac:dyDescent="0.3"/>
    <row r="200" s="26" customFormat="1" x14ac:dyDescent="0.3"/>
    <row r="201" s="26" customFormat="1" x14ac:dyDescent="0.3"/>
    <row r="202" s="26" customFormat="1" x14ac:dyDescent="0.3"/>
    <row r="203" s="26" customFormat="1" x14ac:dyDescent="0.3"/>
    <row r="204" s="26" customFormat="1" x14ac:dyDescent="0.3"/>
    <row r="205" s="26" customFormat="1" x14ac:dyDescent="0.3"/>
    <row r="206" s="26" customFormat="1" x14ac:dyDescent="0.3"/>
    <row r="207" s="26" customFormat="1" x14ac:dyDescent="0.3"/>
    <row r="208" s="26" customFormat="1" x14ac:dyDescent="0.3"/>
    <row r="209" s="26" customFormat="1" x14ac:dyDescent="0.3"/>
    <row r="210" s="26" customFormat="1" x14ac:dyDescent="0.3"/>
    <row r="211" s="26" customFormat="1" x14ac:dyDescent="0.3"/>
    <row r="212" s="26" customFormat="1" x14ac:dyDescent="0.3"/>
    <row r="213" s="26" customFormat="1" x14ac:dyDescent="0.3"/>
    <row r="214" s="26" customFormat="1" x14ac:dyDescent="0.3"/>
    <row r="215" s="26" customFormat="1" x14ac:dyDescent="0.3"/>
    <row r="216" s="26" customFormat="1" x14ac:dyDescent="0.3"/>
    <row r="217" s="26" customFormat="1" x14ac:dyDescent="0.3"/>
    <row r="218" s="26" customFormat="1" x14ac:dyDescent="0.3"/>
    <row r="219" s="26" customFormat="1" x14ac:dyDescent="0.3"/>
    <row r="220" s="26" customFormat="1" x14ac:dyDescent="0.3"/>
    <row r="221" s="26" customFormat="1" x14ac:dyDescent="0.3"/>
    <row r="222" s="26" customFormat="1" x14ac:dyDescent="0.3"/>
    <row r="223" s="26" customFormat="1" x14ac:dyDescent="0.3"/>
    <row r="224" s="26" customFormat="1" x14ac:dyDescent="0.3"/>
    <row r="225" s="26" customFormat="1" x14ac:dyDescent="0.3"/>
    <row r="226" s="26" customFormat="1" x14ac:dyDescent="0.3"/>
    <row r="227" s="26" customFormat="1" x14ac:dyDescent="0.3"/>
    <row r="228" s="26" customFormat="1" x14ac:dyDescent="0.3"/>
    <row r="229" s="26" customFormat="1" x14ac:dyDescent="0.3"/>
    <row r="230" s="26" customFormat="1" x14ac:dyDescent="0.3"/>
    <row r="231" s="26" customFormat="1" x14ac:dyDescent="0.3"/>
    <row r="232" s="26" customFormat="1" x14ac:dyDescent="0.3"/>
    <row r="233" s="26" customFormat="1" x14ac:dyDescent="0.3"/>
    <row r="234" s="26" customFormat="1" x14ac:dyDescent="0.3"/>
    <row r="235" s="26" customFormat="1" x14ac:dyDescent="0.3"/>
    <row r="236" s="26" customFormat="1" x14ac:dyDescent="0.3"/>
    <row r="237" s="26" customFormat="1" x14ac:dyDescent="0.3"/>
    <row r="238" s="26" customFormat="1" x14ac:dyDescent="0.3"/>
    <row r="239" s="26" customFormat="1" x14ac:dyDescent="0.3"/>
    <row r="240" s="26" customFormat="1" x14ac:dyDescent="0.3"/>
    <row r="241" s="26" customFormat="1" x14ac:dyDescent="0.3"/>
    <row r="242" s="26" customFormat="1" x14ac:dyDescent="0.3"/>
    <row r="243" s="26" customFormat="1" x14ac:dyDescent="0.3"/>
    <row r="244" s="26" customFormat="1" x14ac:dyDescent="0.3"/>
    <row r="245" s="26" customFormat="1" x14ac:dyDescent="0.3"/>
    <row r="246" s="26" customFormat="1" x14ac:dyDescent="0.3"/>
    <row r="247" s="26" customFormat="1" x14ac:dyDescent="0.3"/>
    <row r="248" s="26" customFormat="1" x14ac:dyDescent="0.3"/>
    <row r="249" s="26" customFormat="1" x14ac:dyDescent="0.3"/>
    <row r="250" s="26" customFormat="1" x14ac:dyDescent="0.3"/>
    <row r="251" s="26" customFormat="1" x14ac:dyDescent="0.3"/>
    <row r="252" s="26" customFormat="1" x14ac:dyDescent="0.3"/>
    <row r="253" s="26" customFormat="1" x14ac:dyDescent="0.3"/>
    <row r="254" s="26" customFormat="1" x14ac:dyDescent="0.3"/>
    <row r="255" s="26" customFormat="1" x14ac:dyDescent="0.3"/>
    <row r="256" s="26" customFormat="1" x14ac:dyDescent="0.3"/>
    <row r="257" s="26" customFormat="1" x14ac:dyDescent="0.3"/>
    <row r="258" s="26" customFormat="1" x14ac:dyDescent="0.3"/>
    <row r="259" s="26" customFormat="1" x14ac:dyDescent="0.3"/>
    <row r="260" s="26" customFormat="1" x14ac:dyDescent="0.3"/>
    <row r="261" s="26" customFormat="1" x14ac:dyDescent="0.3"/>
    <row r="262" s="26" customFormat="1" x14ac:dyDescent="0.3"/>
    <row r="263" s="26" customFormat="1" x14ac:dyDescent="0.3"/>
    <row r="264" s="26" customFormat="1" x14ac:dyDescent="0.3"/>
    <row r="265" s="26" customFormat="1" x14ac:dyDescent="0.3"/>
    <row r="266" s="26" customFormat="1" x14ac:dyDescent="0.3"/>
    <row r="267" s="26" customFormat="1" x14ac:dyDescent="0.3"/>
    <row r="268" s="26" customFormat="1" x14ac:dyDescent="0.3"/>
    <row r="269" s="26" customFormat="1" x14ac:dyDescent="0.3"/>
    <row r="270" s="26" customFormat="1" x14ac:dyDescent="0.3"/>
    <row r="271" s="26" customFormat="1" x14ac:dyDescent="0.3"/>
    <row r="272" s="26" customFormat="1" x14ac:dyDescent="0.3"/>
    <row r="273" spans="2:17" s="26" customFormat="1" x14ac:dyDescent="0.3"/>
    <row r="274" spans="2:17" s="26" customFormat="1" x14ac:dyDescent="0.3"/>
    <row r="275" spans="2:17" s="26" customFormat="1" x14ac:dyDescent="0.3"/>
    <row r="276" spans="2:17" s="26" customFormat="1" x14ac:dyDescent="0.3"/>
    <row r="277" spans="2:17" s="26" customFormat="1" x14ac:dyDescent="0.3"/>
    <row r="278" spans="2:17" x14ac:dyDescent="0.3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</row>
    <row r="279" spans="2:17" x14ac:dyDescent="0.3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</row>
    <row r="280" spans="2:17" x14ac:dyDescent="0.3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</row>
    <row r="281" spans="2:17" x14ac:dyDescent="0.3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</row>
    <row r="282" spans="2:17" x14ac:dyDescent="0.3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</row>
    <row r="283" spans="2:17" x14ac:dyDescent="0.3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</row>
    <row r="284" spans="2:17" x14ac:dyDescent="0.3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</row>
    <row r="285" spans="2:17" x14ac:dyDescent="0.3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</row>
    <row r="286" spans="2:17" x14ac:dyDescent="0.3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</row>
    <row r="287" spans="2:17" x14ac:dyDescent="0.3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</row>
    <row r="288" spans="2:17" x14ac:dyDescent="0.3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</row>
    <row r="289" spans="2:17" x14ac:dyDescent="0.3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</row>
    <row r="290" spans="2:17" x14ac:dyDescent="0.3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</row>
    <row r="291" spans="2:17" x14ac:dyDescent="0.3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</row>
    <row r="292" spans="2:17" x14ac:dyDescent="0.3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</row>
    <row r="293" spans="2:17" x14ac:dyDescent="0.3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</row>
    <row r="294" spans="2:17" x14ac:dyDescent="0.3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</row>
    <row r="295" spans="2:17" x14ac:dyDescent="0.3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</row>
    <row r="296" spans="2:17" x14ac:dyDescent="0.3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</row>
    <row r="297" spans="2:17" x14ac:dyDescent="0.3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</row>
    <row r="298" spans="2:17" x14ac:dyDescent="0.3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</row>
    <row r="299" spans="2:17" x14ac:dyDescent="0.3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</row>
    <row r="300" spans="2:17" x14ac:dyDescent="0.3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</row>
    <row r="301" spans="2:17" x14ac:dyDescent="0.3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</row>
    <row r="302" spans="2:17" x14ac:dyDescent="0.3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</row>
    <row r="303" spans="2:17" x14ac:dyDescent="0.3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</row>
    <row r="304" spans="2:17" x14ac:dyDescent="0.3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</row>
    <row r="305" spans="2:17" x14ac:dyDescent="0.3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</row>
    <row r="306" spans="2:17" x14ac:dyDescent="0.3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</row>
    <row r="307" spans="2:17" x14ac:dyDescent="0.3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</row>
    <row r="308" spans="2:17" x14ac:dyDescent="0.3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</row>
    <row r="309" spans="2:17" x14ac:dyDescent="0.3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</row>
    <row r="310" spans="2:17" x14ac:dyDescent="0.3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</row>
    <row r="311" spans="2:17" x14ac:dyDescent="0.3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</row>
    <row r="312" spans="2:17" x14ac:dyDescent="0.3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</row>
    <row r="313" spans="2:17" x14ac:dyDescent="0.3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</row>
    <row r="314" spans="2:17" x14ac:dyDescent="0.3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</row>
    <row r="315" spans="2:17" x14ac:dyDescent="0.3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</row>
    <row r="316" spans="2:17" x14ac:dyDescent="0.3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</row>
    <row r="317" spans="2:17" x14ac:dyDescent="0.3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</row>
    <row r="318" spans="2:17" x14ac:dyDescent="0.3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</row>
    <row r="319" spans="2:17" x14ac:dyDescent="0.3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</row>
    <row r="320" spans="2:17" x14ac:dyDescent="0.3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</row>
    <row r="321" spans="2:17" x14ac:dyDescent="0.3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</row>
    <row r="322" spans="2:17" x14ac:dyDescent="0.3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</row>
    <row r="323" spans="2:17" x14ac:dyDescent="0.3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</row>
    <row r="324" spans="2:17" x14ac:dyDescent="0.3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</row>
    <row r="325" spans="2:17" x14ac:dyDescent="0.3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</row>
    <row r="326" spans="2:17" x14ac:dyDescent="0.3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</row>
  </sheetData>
  <sortState xmlns:xlrd2="http://schemas.microsoft.com/office/spreadsheetml/2017/richdata2" ref="B5:B64">
    <sortCondition ref="B5"/>
  </sortState>
  <mergeCells count="8">
    <mergeCell ref="L1:AM64"/>
    <mergeCell ref="A65:XFD277"/>
    <mergeCell ref="A1:K1"/>
    <mergeCell ref="A2:K2"/>
    <mergeCell ref="C3:D3"/>
    <mergeCell ref="E3:F3"/>
    <mergeCell ref="G3:H3"/>
    <mergeCell ref="I3:J3"/>
  </mergeCells>
  <pageMargins left="0.27" right="0.2" top="0.31" bottom="0.2" header="0.3" footer="0.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Divyanshu Sachan</cp:lastModifiedBy>
  <cp:lastPrinted>2026-02-24T06:48:26Z</cp:lastPrinted>
  <dcterms:created xsi:type="dcterms:W3CDTF">2026-02-24T05:02:43Z</dcterms:created>
  <dcterms:modified xsi:type="dcterms:W3CDTF">2026-02-26T04:59:39Z</dcterms:modified>
</cp:coreProperties>
</file>